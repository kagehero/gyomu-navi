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lou-d\Desktop\事務用\"/>
    </mc:Choice>
  </mc:AlternateContent>
  <xr:revisionPtr revIDLastSave="0" documentId="13_ncr:1_{DDD32C6E-6940-4270-AA59-9E76B4A278C3}" xr6:coauthVersionLast="47" xr6:coauthVersionMax="47" xr10:uidLastSave="{00000000-0000-0000-0000-000000000000}"/>
  <bookViews>
    <workbookView xWindow="-98" yWindow="-98" windowWidth="22695" windowHeight="14476" xr2:uid="{3C82B9F8-D8A1-44C4-B1DF-94F78247AEB4}"/>
  </bookViews>
  <sheets>
    <sheet name="報告リスト" sheetId="1" r:id="rId1"/>
    <sheet name="ホンダモビリティ南関東旧東京中央車両リスト" sheetId="10" r:id="rId2"/>
    <sheet name="橋田佳明車両リスト" sheetId="2" r:id="rId3"/>
    <sheet name="バンクレンタカー（バンクレンタカー車両リスト）" sheetId="3" r:id="rId4"/>
    <sheet name="バンクレンタカー（eemo車両リスト）" sheetId="4" r:id="rId5"/>
    <sheet name="フードスター車両リスト" sheetId="5" r:id="rId6"/>
    <sheet name="スマートバリュー車両リスト" sheetId="11" r:id="rId7"/>
    <sheet name="大豊産業車両リスト" sheetId="6" r:id="rId8"/>
    <sheet name="エネクスライフサービス車両リスト" sheetId="12" r:id="rId9"/>
    <sheet name="国際交通車両リスト" sheetId="9"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52" i="1" l="1"/>
  <c r="H151" i="1"/>
  <c r="H150" i="1"/>
  <c r="H149" i="1"/>
  <c r="H148" i="1"/>
  <c r="H147" i="1"/>
  <c r="H146" i="1"/>
  <c r="H145" i="1"/>
  <c r="H144" i="1"/>
  <c r="H143" i="1"/>
  <c r="H142" i="1"/>
  <c r="H141" i="1"/>
  <c r="H140" i="1"/>
  <c r="H139" i="1"/>
  <c r="H135" i="1"/>
  <c r="H138" i="1"/>
  <c r="H137" i="1"/>
  <c r="H136" i="1"/>
  <c r="H134" i="1"/>
  <c r="H133" i="1"/>
  <c r="H163" i="1"/>
  <c r="H164" i="1"/>
  <c r="H165" i="1"/>
  <c r="H166" i="1"/>
  <c r="H167" i="1"/>
  <c r="H168" i="1"/>
  <c r="H169" i="1"/>
  <c r="H162" i="1"/>
  <c r="H472" i="1" l="1"/>
  <c r="H471" i="1"/>
  <c r="H470" i="1"/>
  <c r="H109" i="1" l="1"/>
  <c r="H170" i="1" l="1"/>
  <c r="H112" i="1" l="1"/>
  <c r="H111" i="1"/>
  <c r="H110" i="1"/>
  <c r="H108" i="1"/>
  <c r="H154" i="1" l="1"/>
  <c r="H16" i="1" l="1"/>
  <c r="H15" i="1"/>
  <c r="H14" i="1"/>
  <c r="H19" i="1"/>
  <c r="H18" i="1"/>
  <c r="H17" i="1"/>
  <c r="H7" i="1" l="1"/>
  <c r="H8" i="1"/>
  <c r="H9" i="1"/>
  <c r="H10" i="1"/>
  <c r="H11" i="1"/>
  <c r="H12" i="1"/>
  <c r="H13" i="1"/>
  <c r="H279" i="1" l="1"/>
  <c r="H280" i="1"/>
  <c r="H281" i="1"/>
  <c r="H282" i="1"/>
  <c r="H283" i="1"/>
  <c r="H284" i="1"/>
  <c r="H285" i="1"/>
  <c r="H286" i="1"/>
  <c r="H287" i="1"/>
  <c r="H278" i="1"/>
  <c r="H291" i="1" l="1"/>
  <c r="H290" i="1" l="1"/>
  <c r="H289" i="1"/>
  <c r="H277" i="1" l="1"/>
  <c r="H276" i="1"/>
  <c r="H275" i="1"/>
  <c r="H274" i="1" l="1"/>
  <c r="H273" i="1"/>
  <c r="H426" i="1" l="1"/>
  <c r="H425" i="1"/>
  <c r="H424" i="1"/>
  <c r="H423" i="1"/>
  <c r="H422" i="1"/>
  <c r="H421" i="1"/>
  <c r="H420" i="1"/>
  <c r="H419" i="1"/>
  <c r="H418" i="1"/>
  <c r="H417" i="1"/>
  <c r="H416" i="1"/>
  <c r="H415" i="1"/>
  <c r="H414" i="1"/>
  <c r="H413" i="1"/>
  <c r="H412" i="1"/>
  <c r="H411" i="1"/>
  <c r="H410" i="1"/>
  <c r="H409" i="1"/>
  <c r="H408" i="1"/>
  <c r="H407" i="1"/>
  <c r="H406" i="1"/>
  <c r="H405" i="1"/>
  <c r="H404" i="1"/>
  <c r="H403" i="1"/>
  <c r="H402" i="1"/>
  <c r="H401" i="1"/>
  <c r="H400" i="1"/>
  <c r="H399" i="1"/>
  <c r="H398" i="1"/>
  <c r="H397" i="1"/>
  <c r="H396" i="1"/>
  <c r="H395" i="1"/>
  <c r="H394" i="1"/>
  <c r="H393" i="1"/>
  <c r="H392" i="1"/>
  <c r="H391" i="1"/>
  <c r="H390" i="1"/>
  <c r="H389" i="1"/>
  <c r="H388" i="1"/>
  <c r="H387" i="1"/>
  <c r="H386" i="1"/>
  <c r="H385" i="1"/>
  <c r="H384" i="1"/>
  <c r="H383" i="1"/>
  <c r="H382" i="1"/>
  <c r="H38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515" i="1" l="1"/>
  <c r="H514" i="1"/>
  <c r="H513" i="1"/>
  <c r="H512" i="1"/>
  <c r="H511" i="1"/>
  <c r="H510" i="1"/>
  <c r="H509" i="1"/>
  <c r="H508" i="1"/>
  <c r="H507" i="1"/>
  <c r="H506" i="1"/>
  <c r="H505" i="1"/>
  <c r="H504" i="1"/>
  <c r="H503" i="1"/>
  <c r="H502" i="1"/>
  <c r="H501" i="1"/>
  <c r="H500" i="1"/>
  <c r="H499" i="1"/>
  <c r="H498" i="1"/>
  <c r="H497" i="1"/>
  <c r="H496" i="1"/>
  <c r="H495" i="1"/>
  <c r="H494" i="1"/>
  <c r="H493" i="1"/>
  <c r="H492" i="1"/>
  <c r="H491" i="1"/>
  <c r="H490" i="1"/>
  <c r="H489" i="1"/>
  <c r="H488" i="1"/>
  <c r="H487" i="1"/>
  <c r="H486" i="1"/>
  <c r="H485" i="1"/>
  <c r="H484" i="1"/>
  <c r="H483" i="1" l="1"/>
  <c r="H480" i="1"/>
  <c r="H479" i="1"/>
  <c r="H481" i="1"/>
  <c r="H452" i="1"/>
  <c r="H453" i="1"/>
  <c r="H454" i="1"/>
  <c r="H455" i="1"/>
  <c r="H456" i="1"/>
  <c r="H457" i="1"/>
  <c r="H458" i="1"/>
  <c r="H459" i="1"/>
  <c r="H460" i="1"/>
  <c r="H461" i="1"/>
  <c r="H462" i="1"/>
  <c r="H463" i="1"/>
  <c r="H464" i="1"/>
  <c r="H465" i="1"/>
  <c r="H466" i="1"/>
  <c r="H467" i="1"/>
  <c r="H468" i="1"/>
  <c r="H469" i="1"/>
  <c r="H451" i="1"/>
  <c r="H445" i="1"/>
  <c r="H444" i="1"/>
  <c r="H443" i="1"/>
  <c r="H433" i="1"/>
  <c r="H434" i="1"/>
  <c r="H435" i="1"/>
  <c r="H436" i="1"/>
  <c r="H437" i="1"/>
  <c r="H438" i="1"/>
  <c r="H439" i="1"/>
  <c r="H440" i="1"/>
  <c r="H432" i="1"/>
  <c r="H431"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88" i="1"/>
  <c r="H292" i="1"/>
  <c r="H293" i="1"/>
  <c r="H294" i="1"/>
  <c r="H295" i="1"/>
  <c r="H296" i="1"/>
  <c r="H297" i="1"/>
  <c r="H298" i="1"/>
  <c r="H299" i="1"/>
  <c r="H300" i="1"/>
  <c r="H301" i="1"/>
  <c r="H302" i="1"/>
  <c r="H303" i="1"/>
  <c r="H304" i="1"/>
  <c r="H305" i="1"/>
  <c r="H182" i="1"/>
  <c r="H174" i="1"/>
  <c r="H173" i="1"/>
  <c r="H172" i="1"/>
  <c r="H171" i="1"/>
  <c r="H161" i="1"/>
  <c r="H160" i="1"/>
  <c r="H153" i="1"/>
  <c r="H132" i="1"/>
  <c r="H131" i="1"/>
  <c r="H130" i="1"/>
  <c r="H156" i="1"/>
  <c r="H157" i="1"/>
  <c r="H158" i="1"/>
  <c r="H159" i="1"/>
  <c r="H155" i="1"/>
  <c r="H129" i="1"/>
  <c r="H128" i="1"/>
  <c r="H127" i="1"/>
  <c r="H126" i="1"/>
  <c r="H125" i="1"/>
  <c r="H124" i="1"/>
  <c r="H123" i="1"/>
  <c r="H122" i="1"/>
  <c r="H121" i="1"/>
  <c r="H120" i="1"/>
  <c r="H119" i="1"/>
  <c r="H118" i="1"/>
  <c r="H117" i="1"/>
  <c r="H116" i="1"/>
  <c r="H115" i="1"/>
  <c r="H114" i="1"/>
  <c r="H113"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6" i="1"/>
  <c r="H5" i="1"/>
  <c r="H4" i="1"/>
  <c r="D5" i="4" l="1"/>
  <c r="D4" i="4"/>
  <c r="D3" i="4"/>
</calcChain>
</file>

<file path=xl/sharedStrings.xml><?xml version="1.0" encoding="utf-8"?>
<sst xmlns="http://schemas.openxmlformats.org/spreadsheetml/2006/main" count="1630" uniqueCount="1057">
  <si>
    <t>レンタカー</t>
    <phoneticPr fontId="3"/>
  </si>
  <si>
    <t>タクシー</t>
    <phoneticPr fontId="3"/>
  </si>
  <si>
    <t>回送</t>
    <rPh sb="0" eb="2">
      <t>カイソウ</t>
    </rPh>
    <phoneticPr fontId="3"/>
  </si>
  <si>
    <t>法人リテール</t>
    <rPh sb="0" eb="2">
      <t>ホウジン</t>
    </rPh>
    <phoneticPr fontId="3"/>
  </si>
  <si>
    <t>ホンダモビリティ南関東（旧東京中央）</t>
    <rPh sb="8" eb="9">
      <t>ミナミ</t>
    </rPh>
    <rPh sb="9" eb="11">
      <t>カントウ</t>
    </rPh>
    <rPh sb="12" eb="13">
      <t>キュウ</t>
    </rPh>
    <rPh sb="13" eb="15">
      <t>トウキョウ</t>
    </rPh>
    <rPh sb="15" eb="17">
      <t>チュウオウ</t>
    </rPh>
    <phoneticPr fontId="3"/>
  </si>
  <si>
    <t>ホンダモビリティ南関東（旧横浜）</t>
    <rPh sb="8" eb="9">
      <t>ミナミ</t>
    </rPh>
    <rPh sb="9" eb="11">
      <t>カントウ</t>
    </rPh>
    <rPh sb="12" eb="13">
      <t>キュウ</t>
    </rPh>
    <rPh sb="13" eb="15">
      <t>ヨコハマ</t>
    </rPh>
    <phoneticPr fontId="3"/>
  </si>
  <si>
    <t>株式会社ホンダモビリティ近畿</t>
    <phoneticPr fontId="3"/>
  </si>
  <si>
    <t>アースカー</t>
    <phoneticPr fontId="3"/>
  </si>
  <si>
    <t>橋田佳明</t>
    <rPh sb="0" eb="2">
      <t>ハシダ</t>
    </rPh>
    <rPh sb="2" eb="3">
      <t>カ</t>
    </rPh>
    <rPh sb="3" eb="4">
      <t>アキラ</t>
    </rPh>
    <phoneticPr fontId="3"/>
  </si>
  <si>
    <t>スケジュール点検</t>
    <rPh sb="6" eb="8">
      <t>テンケン</t>
    </rPh>
    <phoneticPr fontId="3"/>
  </si>
  <si>
    <t>西出自動車</t>
    <rPh sb="0" eb="2">
      <t>ニシデ</t>
    </rPh>
    <rPh sb="2" eb="5">
      <t>ジドウシャ</t>
    </rPh>
    <phoneticPr fontId="3"/>
  </si>
  <si>
    <t>エフピコ</t>
    <phoneticPr fontId="3"/>
  </si>
  <si>
    <t>バリュートープ</t>
    <phoneticPr fontId="3"/>
  </si>
  <si>
    <t>エネクスライフサービス</t>
    <phoneticPr fontId="3"/>
  </si>
  <si>
    <t>トヨタレンタリース大阪</t>
    <rPh sb="9" eb="11">
      <t>オオサカ</t>
    </rPh>
    <phoneticPr fontId="3"/>
  </si>
  <si>
    <t>洗剤販売</t>
    <rPh sb="0" eb="2">
      <t>センザイ</t>
    </rPh>
    <rPh sb="2" eb="4">
      <t>ハンバイ</t>
    </rPh>
    <phoneticPr fontId="3"/>
  </si>
  <si>
    <t>タカラスタンダード</t>
    <phoneticPr fontId="3"/>
  </si>
  <si>
    <t>Amazon</t>
    <phoneticPr fontId="3"/>
  </si>
  <si>
    <t>Yahoo！</t>
    <phoneticPr fontId="3"/>
  </si>
  <si>
    <t>自社サイト</t>
    <rPh sb="0" eb="2">
      <t>ジシャ</t>
    </rPh>
    <phoneticPr fontId="3"/>
  </si>
  <si>
    <t>日本シナプス</t>
    <rPh sb="0" eb="2">
      <t>ニホン</t>
    </rPh>
    <phoneticPr fontId="3"/>
  </si>
  <si>
    <t>セイブ環境</t>
    <rPh sb="3" eb="5">
      <t>カンキョウ</t>
    </rPh>
    <phoneticPr fontId="3"/>
  </si>
  <si>
    <t>トヨタレンタリース千葉</t>
    <rPh sb="9" eb="11">
      <t>チバ</t>
    </rPh>
    <phoneticPr fontId="3"/>
  </si>
  <si>
    <t>トヨタレンタリース仙台</t>
    <rPh sb="9" eb="11">
      <t>センダイ</t>
    </rPh>
    <phoneticPr fontId="3"/>
  </si>
  <si>
    <t>トヨタレンタリース福島</t>
    <rPh sb="9" eb="11">
      <t>フクシマ</t>
    </rPh>
    <phoneticPr fontId="3"/>
  </si>
  <si>
    <t>トヨタレンタリース熊本</t>
    <rPh sb="9" eb="11">
      <t>クマモト</t>
    </rPh>
    <phoneticPr fontId="3"/>
  </si>
  <si>
    <t>トヨタレンタリース京都</t>
    <rPh sb="9" eb="11">
      <t>キョウト</t>
    </rPh>
    <phoneticPr fontId="3"/>
  </si>
  <si>
    <t>トヨタモビリティサービス</t>
    <phoneticPr fontId="3"/>
  </si>
  <si>
    <t>あんしんネット21</t>
    <phoneticPr fontId="3"/>
  </si>
  <si>
    <t>あんしんネットあいち</t>
    <phoneticPr fontId="3"/>
  </si>
  <si>
    <t>あんしんネットなごや</t>
    <phoneticPr fontId="3"/>
  </si>
  <si>
    <t>愛知つばめ交通</t>
    <rPh sb="0" eb="2">
      <t>アイチ</t>
    </rPh>
    <rPh sb="5" eb="7">
      <t>コウツウ</t>
    </rPh>
    <phoneticPr fontId="3"/>
  </si>
  <si>
    <t>リード</t>
    <phoneticPr fontId="3"/>
  </si>
  <si>
    <t>トレンディインフォメーション</t>
    <phoneticPr fontId="3"/>
  </si>
  <si>
    <t>タイムズサービス</t>
    <phoneticPr fontId="3"/>
  </si>
  <si>
    <t>タイムスモビリティ</t>
    <phoneticPr fontId="3"/>
  </si>
  <si>
    <t>タイムズモビリティ</t>
    <phoneticPr fontId="3"/>
  </si>
  <si>
    <t>T-Lve車両リース</t>
    <rPh sb="5" eb="7">
      <t>シャリョウ</t>
    </rPh>
    <phoneticPr fontId="3"/>
  </si>
  <si>
    <t>SMAサポート（UPR）</t>
    <phoneticPr fontId="3"/>
  </si>
  <si>
    <t>ヒョンデ</t>
    <phoneticPr fontId="3"/>
  </si>
  <si>
    <t>ヒョンデ（カーシェア）</t>
    <phoneticPr fontId="3"/>
  </si>
  <si>
    <t>大豊産業</t>
    <rPh sb="0" eb="2">
      <t>タイホウ</t>
    </rPh>
    <rPh sb="2" eb="4">
      <t>サンギョウ</t>
    </rPh>
    <phoneticPr fontId="3"/>
  </si>
  <si>
    <t>オリックス自動車（近畿回送）</t>
    <rPh sb="5" eb="8">
      <t>ジドウシャ</t>
    </rPh>
    <rPh sb="9" eb="11">
      <t>キンキ</t>
    </rPh>
    <rPh sb="11" eb="13">
      <t>カイソウ</t>
    </rPh>
    <phoneticPr fontId="3"/>
  </si>
  <si>
    <t>ラストワンマイルパートナーズ</t>
    <phoneticPr fontId="3"/>
  </si>
  <si>
    <t>625横浜</t>
    <rPh sb="3" eb="5">
      <t>ヨコハマ</t>
    </rPh>
    <phoneticPr fontId="3"/>
  </si>
  <si>
    <t>神奈川トヨタ自動車</t>
  </si>
  <si>
    <t>イチネン</t>
    <phoneticPr fontId="3"/>
  </si>
  <si>
    <t>ニッポン自動車整備</t>
    <rPh sb="4" eb="7">
      <t>ジドウシャ</t>
    </rPh>
    <rPh sb="7" eb="9">
      <t>セイビ</t>
    </rPh>
    <phoneticPr fontId="3"/>
  </si>
  <si>
    <t>タステックレンタリース</t>
    <phoneticPr fontId="3"/>
  </si>
  <si>
    <t>アントレ業務研修費</t>
    <rPh sb="4" eb="6">
      <t>ギョウム</t>
    </rPh>
    <rPh sb="6" eb="8">
      <t>ケンシュウ</t>
    </rPh>
    <rPh sb="8" eb="9">
      <t>ヒ</t>
    </rPh>
    <phoneticPr fontId="3"/>
  </si>
  <si>
    <t>日産カーレンタルソリューション</t>
    <rPh sb="0" eb="2">
      <t>ニッサン</t>
    </rPh>
    <phoneticPr fontId="3"/>
  </si>
  <si>
    <t>ニッポンレンタカーアーバンネット</t>
    <phoneticPr fontId="3"/>
  </si>
  <si>
    <t>ニッポンレンタカー北関東</t>
    <rPh sb="9" eb="10">
      <t>キタ</t>
    </rPh>
    <rPh sb="10" eb="12">
      <t>カントウ</t>
    </rPh>
    <phoneticPr fontId="3"/>
  </si>
  <si>
    <t>ニッポンレンタカー東海</t>
    <rPh sb="9" eb="11">
      <t>トウカイ</t>
    </rPh>
    <phoneticPr fontId="3"/>
  </si>
  <si>
    <t>ニッポンレンタカー北陸</t>
    <rPh sb="9" eb="11">
      <t>ホクリク</t>
    </rPh>
    <phoneticPr fontId="3"/>
  </si>
  <si>
    <t>ニッポンレンタカー東北</t>
    <rPh sb="9" eb="11">
      <t>トウホク</t>
    </rPh>
    <phoneticPr fontId="3"/>
  </si>
  <si>
    <t>ニッポンレンタカー信州</t>
    <rPh sb="9" eb="11">
      <t>シンシュウ</t>
    </rPh>
    <phoneticPr fontId="3"/>
  </si>
  <si>
    <t>ニッポンレンタカー関西</t>
    <rPh sb="9" eb="11">
      <t>カンサイ</t>
    </rPh>
    <phoneticPr fontId="3"/>
  </si>
  <si>
    <t>ニッポンレンタカー四国</t>
    <rPh sb="9" eb="11">
      <t>シコク</t>
    </rPh>
    <phoneticPr fontId="3"/>
  </si>
  <si>
    <t>ニッポンレンタカー北関東</t>
    <phoneticPr fontId="1"/>
  </si>
  <si>
    <t>ニッポンレンタカー東海</t>
    <phoneticPr fontId="1"/>
  </si>
  <si>
    <t>ニッポンレンタカー関西</t>
    <phoneticPr fontId="1"/>
  </si>
  <si>
    <t>ニッポンレンタカー東北</t>
    <rPh sb="9" eb="11">
      <t>トウホク</t>
    </rPh>
    <phoneticPr fontId="1"/>
  </si>
  <si>
    <t>ニッポンレンタカー北陸</t>
    <rPh sb="9" eb="11">
      <t>ホクリク</t>
    </rPh>
    <phoneticPr fontId="1"/>
  </si>
  <si>
    <t>ニッポンレンタカー九州</t>
    <rPh sb="9" eb="11">
      <t>キュウシュウ</t>
    </rPh>
    <phoneticPr fontId="1"/>
  </si>
  <si>
    <t>トヨタレンタリース神奈川</t>
    <rPh sb="9" eb="12">
      <t>カナガワ</t>
    </rPh>
    <phoneticPr fontId="3"/>
  </si>
  <si>
    <t>鈴与レンタカー</t>
    <rPh sb="0" eb="2">
      <t>スズヨ</t>
    </rPh>
    <phoneticPr fontId="3"/>
  </si>
  <si>
    <t>ユアサモビリティサービス</t>
    <phoneticPr fontId="3"/>
  </si>
  <si>
    <t>オリックスレンタカー・カメイ</t>
    <phoneticPr fontId="3"/>
  </si>
  <si>
    <t>その他</t>
    <rPh sb="2" eb="3">
      <t>タ</t>
    </rPh>
    <phoneticPr fontId="3"/>
  </si>
  <si>
    <t>アース・カー車両メンテナンス・清掃業務一式</t>
    <phoneticPr fontId="3"/>
  </si>
  <si>
    <t>アース・カー車両給油代行業務</t>
    <phoneticPr fontId="3"/>
  </si>
  <si>
    <t>GREX(RTU)500mlスプレーボトル</t>
    <phoneticPr fontId="3"/>
  </si>
  <si>
    <t>マイクロファイバータオル</t>
    <phoneticPr fontId="3"/>
  </si>
  <si>
    <t>GREX(希釈)500mlボトル</t>
    <rPh sb="5" eb="7">
      <t>キシャク</t>
    </rPh>
    <phoneticPr fontId="3"/>
  </si>
  <si>
    <t>GREX(希釈)2Lボトル</t>
    <rPh sb="5" eb="7">
      <t>キシャク</t>
    </rPh>
    <phoneticPr fontId="3"/>
  </si>
  <si>
    <t>GREX(希釈)5Lバロン</t>
    <rPh sb="5" eb="7">
      <t>キシャク</t>
    </rPh>
    <phoneticPr fontId="3"/>
  </si>
  <si>
    <t>GREX(希釈)10Lバロン</t>
    <rPh sb="5" eb="7">
      <t>キシャク</t>
    </rPh>
    <phoneticPr fontId="3"/>
  </si>
  <si>
    <t>GREX(希釈)20Lバロン</t>
    <rPh sb="5" eb="7">
      <t>キシャク</t>
    </rPh>
    <phoneticPr fontId="3"/>
  </si>
  <si>
    <t>SHAKEHANDS</t>
    <phoneticPr fontId="3"/>
  </si>
  <si>
    <t>送料</t>
    <rPh sb="0" eb="2">
      <t>ソウリョウ</t>
    </rPh>
    <phoneticPr fontId="3"/>
  </si>
  <si>
    <t>23区内巡回清掃及び点検業務</t>
    <phoneticPr fontId="3"/>
  </si>
  <si>
    <t>N-WGN</t>
  </si>
  <si>
    <t>デイズ</t>
    <phoneticPr fontId="3"/>
  </si>
  <si>
    <t>ヴィッツ</t>
    <phoneticPr fontId="3"/>
  </si>
  <si>
    <t>車載器交換業務</t>
    <phoneticPr fontId="3"/>
  </si>
  <si>
    <t>バッテリー交換業務</t>
    <rPh sb="7" eb="9">
      <t>ギョウム</t>
    </rPh>
    <phoneticPr fontId="3"/>
  </si>
  <si>
    <t>給油代行業務</t>
  </si>
  <si>
    <t>緊急対応業務（6時間以内対応/東京23区）</t>
  </si>
  <si>
    <t>緊急対応業務（12時間以内対応/東京23区）</t>
  </si>
  <si>
    <t>緊急対応業務（24時間以内対応/東京23区）</t>
  </si>
  <si>
    <t>緊急対応業務（48時間以内対応/東京23区）</t>
  </si>
  <si>
    <t>傷コンパウンド処理（クレジットカードサイズ以上）</t>
  </si>
  <si>
    <t>傷コンパウンド処理（クレジットカードサイズ以下）</t>
  </si>
  <si>
    <t>水垢除去（車両両サイド実施）</t>
  </si>
  <si>
    <t>水垢除去（ナンバープレート）</t>
  </si>
  <si>
    <t>バッテリージャンピング</t>
  </si>
  <si>
    <t>バッテリー充電走行（10km)</t>
  </si>
  <si>
    <t>車内消臭業務（消臭剤代含む）</t>
  </si>
  <si>
    <t>パンク対応業務</t>
  </si>
  <si>
    <t>自動車リース料（トヨタヴェルファイアZpremier:湘南33Aの…3）</t>
    <phoneticPr fontId="3"/>
  </si>
  <si>
    <t>ユアサモビリティサービス</t>
    <phoneticPr fontId="3"/>
  </si>
  <si>
    <t>関西空港営業所</t>
    <phoneticPr fontId="3"/>
  </si>
  <si>
    <t>大阪梅田営業所</t>
    <phoneticPr fontId="3"/>
  </si>
  <si>
    <t>新幹線京都駅八条口営業所</t>
    <phoneticPr fontId="3"/>
  </si>
  <si>
    <t>洗車点検パック（軽・乗用車・バン・トラック）関西空港営業所</t>
    <rPh sb="22" eb="29">
      <t>カンサイクウコウエイギョウショ</t>
    </rPh>
    <phoneticPr fontId="3"/>
  </si>
  <si>
    <t>洗車点検パック（WAクラス以上）　関西空港営業所</t>
    <rPh sb="17" eb="24">
      <t>カンサイクウコウエイギョウショ</t>
    </rPh>
    <phoneticPr fontId="3"/>
  </si>
  <si>
    <t>洗車点検パック（軽・乗用車・バン・トラック）大阪梅田営業所</t>
    <rPh sb="22" eb="24">
      <t>オオサカ</t>
    </rPh>
    <rPh sb="24" eb="26">
      <t>ウメダ</t>
    </rPh>
    <rPh sb="26" eb="29">
      <t>エイギョウショ</t>
    </rPh>
    <phoneticPr fontId="3"/>
  </si>
  <si>
    <t>洗車点検パック（WAクラス以上）　大阪梅田営業所</t>
    <rPh sb="17" eb="19">
      <t>オオサカ</t>
    </rPh>
    <rPh sb="19" eb="21">
      <t>ウメダ</t>
    </rPh>
    <rPh sb="21" eb="24">
      <t>エイギョウショ</t>
    </rPh>
    <phoneticPr fontId="3"/>
  </si>
  <si>
    <t>車両清掃業務一式（軽・乗用車・バン・トラック）新幹線京都駅八条口営業所</t>
    <rPh sb="0" eb="4">
      <t>シャリョウセイソウ</t>
    </rPh>
    <rPh sb="4" eb="6">
      <t>ギョウム</t>
    </rPh>
    <rPh sb="6" eb="8">
      <t>イッシキ</t>
    </rPh>
    <rPh sb="32" eb="35">
      <t>エイギョウショ</t>
    </rPh>
    <phoneticPr fontId="3"/>
  </si>
  <si>
    <t>車両清掃業務一式（WAクラス以上）新幹線京都駅八条口営業所</t>
    <rPh sb="0" eb="4">
      <t>シャリョウセイソウ</t>
    </rPh>
    <rPh sb="4" eb="6">
      <t>ギョウム</t>
    </rPh>
    <rPh sb="6" eb="8">
      <t>イッシキ</t>
    </rPh>
    <rPh sb="14" eb="16">
      <t>イジョウ</t>
    </rPh>
    <rPh sb="26" eb="29">
      <t>エイギョウショ</t>
    </rPh>
    <phoneticPr fontId="3"/>
  </si>
  <si>
    <t>博多駅博多口営業所</t>
    <phoneticPr fontId="3"/>
  </si>
  <si>
    <t>福岡空港営業所</t>
    <phoneticPr fontId="3"/>
  </si>
  <si>
    <t>あおいさん宛備考</t>
    <rPh sb="5" eb="6">
      <t>アテ</t>
    </rPh>
    <rPh sb="6" eb="8">
      <t>ビコウ</t>
    </rPh>
    <phoneticPr fontId="3"/>
  </si>
  <si>
    <t>委託車両洗車・室内清掃（博多駅博多口営業所）</t>
    <phoneticPr fontId="3"/>
  </si>
  <si>
    <t>委託車両洗車・室内清掃（福岡空港営業所）</t>
    <phoneticPr fontId="3"/>
  </si>
  <si>
    <t>諸経費（福岡空港営業所）</t>
    <phoneticPr fontId="3"/>
  </si>
  <si>
    <t>諸経費（博多駅博多口営業所）</t>
    <phoneticPr fontId="3"/>
  </si>
  <si>
    <t>名古屋駅桜通口営業所</t>
    <rPh sb="0" eb="4">
      <t>ナゴヤエキ</t>
    </rPh>
    <rPh sb="4" eb="5">
      <t>サクラ</t>
    </rPh>
    <rPh sb="5" eb="6">
      <t>ドオリ</t>
    </rPh>
    <rPh sb="6" eb="7">
      <t>グチ</t>
    </rPh>
    <rPh sb="7" eb="10">
      <t>エイギョウショ</t>
    </rPh>
    <phoneticPr fontId="2"/>
  </si>
  <si>
    <t>名古屋駅新幹線口営業所</t>
    <rPh sb="0" eb="4">
      <t>ナゴヤエキ</t>
    </rPh>
    <rPh sb="4" eb="7">
      <t>シンカンセン</t>
    </rPh>
    <rPh sb="7" eb="8">
      <t>グチ</t>
    </rPh>
    <rPh sb="8" eb="11">
      <t>エイギョウショ</t>
    </rPh>
    <phoneticPr fontId="2"/>
  </si>
  <si>
    <t>浜松駅南口営業所</t>
    <rPh sb="0" eb="4">
      <t>ハママツエキミナミ</t>
    </rPh>
    <rPh sb="4" eb="5">
      <t>グチ</t>
    </rPh>
    <rPh sb="5" eb="8">
      <t>エイギョウショ</t>
    </rPh>
    <phoneticPr fontId="2"/>
  </si>
  <si>
    <t>名古屋納屋橋営業所</t>
    <phoneticPr fontId="2"/>
  </si>
  <si>
    <t>委託車両洗車・室内清掃（名古屋駅桜通口営業所）</t>
    <phoneticPr fontId="3"/>
  </si>
  <si>
    <t>委託車両洗車・室内清掃（名古屋駅新幹線口営業所）</t>
    <phoneticPr fontId="3"/>
  </si>
  <si>
    <t>委託車両洗車・室内清掃（浜松駅南口営業所）</t>
    <phoneticPr fontId="3"/>
  </si>
  <si>
    <t>委託車両洗車・室内清掃（名古屋納屋橋営業所）</t>
    <phoneticPr fontId="3"/>
  </si>
  <si>
    <t>委託車両洗車・室内清掃（盛岡駅前営業所）</t>
    <rPh sb="0" eb="2">
      <t>イタク</t>
    </rPh>
    <rPh sb="2" eb="4">
      <t>シャリョウ</t>
    </rPh>
    <rPh sb="7" eb="9">
      <t>シツナイ</t>
    </rPh>
    <rPh sb="9" eb="11">
      <t>セイソウ</t>
    </rPh>
    <rPh sb="12" eb="14">
      <t>モリオカ</t>
    </rPh>
    <rPh sb="14" eb="15">
      <t>エキ</t>
    </rPh>
    <rPh sb="15" eb="16">
      <t>マエ</t>
    </rPh>
    <rPh sb="16" eb="19">
      <t>エイギョウショ</t>
    </rPh>
    <phoneticPr fontId="1"/>
  </si>
  <si>
    <t>委託車両洗車・室内清掃2台分車両（盛岡駅前営業所）</t>
    <rPh sb="0" eb="2">
      <t>イタク</t>
    </rPh>
    <rPh sb="2" eb="4">
      <t>シャリョウ</t>
    </rPh>
    <rPh sb="7" eb="9">
      <t>シツナイ</t>
    </rPh>
    <rPh sb="9" eb="11">
      <t>セイソウ</t>
    </rPh>
    <rPh sb="12" eb="14">
      <t>ダイブン</t>
    </rPh>
    <rPh sb="14" eb="16">
      <t>シャリョウ</t>
    </rPh>
    <rPh sb="17" eb="19">
      <t>モリオカ</t>
    </rPh>
    <rPh sb="19" eb="20">
      <t>エキ</t>
    </rPh>
    <rPh sb="20" eb="21">
      <t>マエ</t>
    </rPh>
    <rPh sb="21" eb="24">
      <t>エイギョウショ</t>
    </rPh>
    <phoneticPr fontId="1"/>
  </si>
  <si>
    <t>日常点検代行業務（盛岡駅前営業所）</t>
  </si>
  <si>
    <t>委託車両室内清掃（新青森駅前営業所）</t>
    <rPh sb="0" eb="2">
      <t>イタク</t>
    </rPh>
    <rPh sb="2" eb="4">
      <t>シャリョウ</t>
    </rPh>
    <rPh sb="4" eb="6">
      <t>シツナイ</t>
    </rPh>
    <rPh sb="6" eb="8">
      <t>セイソウ</t>
    </rPh>
    <rPh sb="9" eb="12">
      <t>シンアオモリ</t>
    </rPh>
    <rPh sb="12" eb="13">
      <t>エキ</t>
    </rPh>
    <rPh sb="13" eb="14">
      <t>マエ</t>
    </rPh>
    <rPh sb="14" eb="17">
      <t>エイギョウショ</t>
    </rPh>
    <phoneticPr fontId="1"/>
  </si>
  <si>
    <t>日常点検代行業務（新青森駅前営業所）</t>
    <rPh sb="9" eb="12">
      <t>シンアオモリ</t>
    </rPh>
    <phoneticPr fontId="3"/>
  </si>
  <si>
    <t>委託車両洗車・室内清掃（青森空港営業所）</t>
    <rPh sb="0" eb="2">
      <t>イタク</t>
    </rPh>
    <rPh sb="2" eb="4">
      <t>シャリョウ</t>
    </rPh>
    <rPh sb="7" eb="9">
      <t>シツナイ</t>
    </rPh>
    <rPh sb="9" eb="11">
      <t>セイソウ</t>
    </rPh>
    <rPh sb="12" eb="16">
      <t>アオモリクウコウ</t>
    </rPh>
    <rPh sb="16" eb="19">
      <t>エイギョウショ</t>
    </rPh>
    <phoneticPr fontId="1"/>
  </si>
  <si>
    <t>日常点検代行業務（青森空港営業所）</t>
    <rPh sb="9" eb="13">
      <t>アオモリクウコウ</t>
    </rPh>
    <phoneticPr fontId="3"/>
  </si>
  <si>
    <t>諸経費（青森空港営業所）</t>
    <rPh sb="0" eb="3">
      <t>ショケイヒ</t>
    </rPh>
    <rPh sb="4" eb="8">
      <t>アオモリクウコウ</t>
    </rPh>
    <rPh sb="8" eb="11">
      <t>エイギョウショ</t>
    </rPh>
    <phoneticPr fontId="1"/>
  </si>
  <si>
    <t>宇都宮西口駅前営業所</t>
    <rPh sb="0" eb="3">
      <t>ウツノミヤ</t>
    </rPh>
    <rPh sb="3" eb="5">
      <t>ニシグチ</t>
    </rPh>
    <rPh sb="5" eb="6">
      <t>エキ</t>
    </rPh>
    <rPh sb="6" eb="7">
      <t>マエ</t>
    </rPh>
    <rPh sb="7" eb="10">
      <t>エイギョウショ</t>
    </rPh>
    <phoneticPr fontId="2"/>
  </si>
  <si>
    <t>久喜営業所</t>
    <rPh sb="0" eb="2">
      <t>クキ</t>
    </rPh>
    <rPh sb="2" eb="5">
      <t>エイギョウショ</t>
    </rPh>
    <phoneticPr fontId="3"/>
  </si>
  <si>
    <t>高崎西口駅前営業所</t>
    <rPh sb="0" eb="4">
      <t>タカサキニシグチ</t>
    </rPh>
    <rPh sb="4" eb="6">
      <t>エキマエ</t>
    </rPh>
    <phoneticPr fontId="2"/>
  </si>
  <si>
    <t>高崎東口駅前営業所（洗車）</t>
    <rPh sb="0" eb="2">
      <t>タカサキ</t>
    </rPh>
    <rPh sb="2" eb="3">
      <t>ヒガシ</t>
    </rPh>
    <rPh sb="10" eb="12">
      <t>センシャ</t>
    </rPh>
    <phoneticPr fontId="3"/>
  </si>
  <si>
    <t>高崎東口駅前営業所（車両管理）</t>
    <rPh sb="0" eb="2">
      <t>タカサキ</t>
    </rPh>
    <rPh sb="2" eb="3">
      <t>ヒガシ</t>
    </rPh>
    <rPh sb="10" eb="14">
      <t>シャリョウカンリ</t>
    </rPh>
    <phoneticPr fontId="3"/>
  </si>
  <si>
    <t>所沢営業所</t>
    <rPh sb="0" eb="2">
      <t>トコロザワ</t>
    </rPh>
    <rPh sb="2" eb="5">
      <t>エイギョウショ</t>
    </rPh>
    <phoneticPr fontId="2"/>
  </si>
  <si>
    <t>那須塩原駅前営業所</t>
    <rPh sb="0" eb="6">
      <t>ナスシオバラエキマエ</t>
    </rPh>
    <rPh sb="6" eb="9">
      <t>エイギョウショ</t>
    </rPh>
    <phoneticPr fontId="2"/>
  </si>
  <si>
    <t>武蔵浦和営業所</t>
    <rPh sb="0" eb="4">
      <t>ムサシウラワ</t>
    </rPh>
    <rPh sb="4" eb="7">
      <t>エイギョウショ</t>
    </rPh>
    <phoneticPr fontId="2"/>
  </si>
  <si>
    <t>和光市駅前営業所</t>
  </si>
  <si>
    <t>熊谷南口駅前営業所</t>
    <rPh sb="0" eb="2">
      <t>クマガヤ</t>
    </rPh>
    <rPh sb="2" eb="4">
      <t>ミナミグチ</t>
    </rPh>
    <rPh sb="4" eb="6">
      <t>エキマエ</t>
    </rPh>
    <rPh sb="6" eb="9">
      <t>エイギョウショ</t>
    </rPh>
    <phoneticPr fontId="2"/>
  </si>
  <si>
    <t>小山西口駅前営業所</t>
    <rPh sb="0" eb="4">
      <t>コヤマニシグチ</t>
    </rPh>
    <rPh sb="4" eb="6">
      <t>エキマエ</t>
    </rPh>
    <rPh sb="6" eb="9">
      <t>エイギョウショ</t>
    </rPh>
    <phoneticPr fontId="2"/>
  </si>
  <si>
    <t>大宮駅西口営業所</t>
    <rPh sb="0" eb="5">
      <t>オオミヤエキニシグチ</t>
    </rPh>
    <rPh sb="5" eb="8">
      <t>エイギョウショ</t>
    </rPh>
    <phoneticPr fontId="2"/>
  </si>
  <si>
    <t>盛岡駅前営業所</t>
  </si>
  <si>
    <t>新青森駅前営業所</t>
  </si>
  <si>
    <t>青森空港営業所</t>
  </si>
  <si>
    <t>委託車両洗車・室内清掃（宇都宮西口駅前営業所）</t>
    <phoneticPr fontId="3"/>
  </si>
  <si>
    <t>委託車両洗車・室内清掃（久喜営業所）</t>
    <phoneticPr fontId="3"/>
  </si>
  <si>
    <t>委託車両洗車・室内清掃（高崎西口駅前営業所）</t>
    <phoneticPr fontId="3"/>
  </si>
  <si>
    <t>委託車両洗車・室内清掃（高崎東口駅前営業所）</t>
    <phoneticPr fontId="3"/>
  </si>
  <si>
    <t>車両管理費（高崎東口駅前営業所）</t>
    <phoneticPr fontId="3"/>
  </si>
  <si>
    <t>委託車両洗車・室内清掃（所沢営業所）</t>
    <phoneticPr fontId="3"/>
  </si>
  <si>
    <t>委託車両洗車・室内清掃（那須塩原駅前営業所）</t>
    <phoneticPr fontId="3"/>
  </si>
  <si>
    <t>委託車両洗車・室内清掃（武蔵浦和営業所）</t>
    <phoneticPr fontId="3"/>
  </si>
  <si>
    <t>委託車両洗車・室内清掃（和光市駅前営業所）</t>
    <phoneticPr fontId="3"/>
  </si>
  <si>
    <t>委託車両洗車・室内清掃（熊谷南口駅前営業所）</t>
    <phoneticPr fontId="3"/>
  </si>
  <si>
    <t>委託車両洗車・室内清掃（小山西口駅前営業所）</t>
    <phoneticPr fontId="3"/>
  </si>
  <si>
    <t>委託車両洗車・室内清掃（大宮駅西口営業所）</t>
    <phoneticPr fontId="3"/>
  </si>
  <si>
    <t>金沢駅西口営業所</t>
    <phoneticPr fontId="3"/>
  </si>
  <si>
    <t>委託車両洗車・室内清掃（金沢駅西口営業所）</t>
    <rPh sb="0" eb="2">
      <t>イタク</t>
    </rPh>
    <rPh sb="2" eb="4">
      <t>シャリョウ</t>
    </rPh>
    <rPh sb="7" eb="9">
      <t>シツナイ</t>
    </rPh>
    <rPh sb="9" eb="11">
      <t>セイソウ</t>
    </rPh>
    <rPh sb="12" eb="15">
      <t>カナザワエキ</t>
    </rPh>
    <rPh sb="15" eb="17">
      <t>ニシグチ</t>
    </rPh>
    <rPh sb="17" eb="20">
      <t>エイギョウショ</t>
    </rPh>
    <phoneticPr fontId="3"/>
  </si>
  <si>
    <t>日常点検代行業務（金沢駅西口営業所）</t>
  </si>
  <si>
    <t>委託車両洗車・室内清掃（福井駅前営業所）</t>
    <phoneticPr fontId="3"/>
  </si>
  <si>
    <t>福井駅前営業所</t>
    <phoneticPr fontId="3"/>
  </si>
  <si>
    <t>池袋東口営業所</t>
    <phoneticPr fontId="3"/>
  </si>
  <si>
    <t>TX浅草営業所</t>
    <phoneticPr fontId="3"/>
  </si>
  <si>
    <t>錦糸町営業所</t>
    <phoneticPr fontId="3"/>
  </si>
  <si>
    <t>瑞江営業所</t>
    <phoneticPr fontId="3"/>
  </si>
  <si>
    <t>成増駅前営業所</t>
    <phoneticPr fontId="3"/>
  </si>
  <si>
    <t>日本橋本町営業所</t>
    <phoneticPr fontId="3"/>
  </si>
  <si>
    <t>とうきょうスカイツリー営業所</t>
    <phoneticPr fontId="3"/>
  </si>
  <si>
    <t>日暮里駅前営業所</t>
    <phoneticPr fontId="3"/>
  </si>
  <si>
    <t>西新井西口駅前営業所</t>
    <phoneticPr fontId="3"/>
  </si>
  <si>
    <t>葛西営業所</t>
    <phoneticPr fontId="3"/>
  </si>
  <si>
    <t>駒沢大学駅前営業所</t>
    <phoneticPr fontId="3"/>
  </si>
  <si>
    <t>神田営業所</t>
    <phoneticPr fontId="3"/>
  </si>
  <si>
    <t>東京駅八重洲南口営業所</t>
    <rPh sb="0" eb="3">
      <t>トウキョウエキ</t>
    </rPh>
    <phoneticPr fontId="3"/>
  </si>
  <si>
    <t>羽田空港営業所</t>
    <rPh sb="2" eb="4">
      <t>クウコウ</t>
    </rPh>
    <phoneticPr fontId="3"/>
  </si>
  <si>
    <t>豊洲営業所</t>
    <rPh sb="0" eb="2">
      <t>トヨス</t>
    </rPh>
    <rPh sb="2" eb="5">
      <t>エイギョウショ</t>
    </rPh>
    <phoneticPr fontId="3"/>
  </si>
  <si>
    <t>大井町駅前営業所</t>
    <rPh sb="0" eb="3">
      <t>オオイマチ</t>
    </rPh>
    <rPh sb="3" eb="4">
      <t>エキ</t>
    </rPh>
    <rPh sb="4" eb="5">
      <t>マエ</t>
    </rPh>
    <rPh sb="5" eb="8">
      <t>エイギョウショ</t>
    </rPh>
    <rPh sb="6" eb="8">
      <t>ゴウケイ</t>
    </rPh>
    <phoneticPr fontId="3"/>
  </si>
  <si>
    <t>品川駅前営業所</t>
    <rPh sb="0" eb="7">
      <t>シナガワエキマエエイギョウショ</t>
    </rPh>
    <phoneticPr fontId="3"/>
  </si>
  <si>
    <t>恵比寿営業所</t>
    <rPh sb="0" eb="3">
      <t>エビス</t>
    </rPh>
    <rPh sb="3" eb="6">
      <t>エイギョウショ</t>
    </rPh>
    <phoneticPr fontId="3"/>
  </si>
  <si>
    <t>浜松町駅前営業所</t>
    <rPh sb="0" eb="5">
      <t>ハママツチョウエキマエ</t>
    </rPh>
    <rPh sb="5" eb="8">
      <t>エイギョウショ</t>
    </rPh>
    <phoneticPr fontId="3"/>
  </si>
  <si>
    <t>田町・三田NNビル営業所</t>
    <rPh sb="0" eb="2">
      <t>タマチ</t>
    </rPh>
    <rPh sb="3" eb="5">
      <t>ミタ</t>
    </rPh>
    <rPh sb="9" eb="12">
      <t>エイギョウショ</t>
    </rPh>
    <phoneticPr fontId="3"/>
  </si>
  <si>
    <t>目黒不動前営業所</t>
    <rPh sb="0" eb="2">
      <t>メグロ</t>
    </rPh>
    <rPh sb="2" eb="4">
      <t>フドウ</t>
    </rPh>
    <rPh sb="4" eb="5">
      <t>マエ</t>
    </rPh>
    <rPh sb="5" eb="8">
      <t>エイギョウショ</t>
    </rPh>
    <phoneticPr fontId="3"/>
  </si>
  <si>
    <t>ANAインターコンチネンタルホテル東京営業所</t>
    <rPh sb="17" eb="19">
      <t>トウキョウ</t>
    </rPh>
    <rPh sb="19" eb="22">
      <t>エイギョウショ</t>
    </rPh>
    <phoneticPr fontId="3"/>
  </si>
  <si>
    <t>自由が丘駅前営業所</t>
    <rPh sb="0" eb="2">
      <t>ジユウ</t>
    </rPh>
    <rPh sb="3" eb="4">
      <t>オカ</t>
    </rPh>
    <rPh sb="4" eb="5">
      <t>エキ</t>
    </rPh>
    <rPh sb="5" eb="6">
      <t>マエ</t>
    </rPh>
    <rPh sb="6" eb="9">
      <t>エイギョウショ</t>
    </rPh>
    <phoneticPr fontId="3"/>
  </si>
  <si>
    <t>三軒茶屋駅前営業所</t>
    <rPh sb="0" eb="4">
      <t>サンケンチャヤ</t>
    </rPh>
    <rPh sb="4" eb="9">
      <t>エキマエエイギョウショ</t>
    </rPh>
    <phoneticPr fontId="3"/>
  </si>
  <si>
    <t>大森海岸営業所</t>
    <rPh sb="0" eb="1">
      <t>オオ</t>
    </rPh>
    <rPh sb="1" eb="2">
      <t>モリ</t>
    </rPh>
    <rPh sb="2" eb="7">
      <t>カイガンエイギョウショ</t>
    </rPh>
    <phoneticPr fontId="3"/>
  </si>
  <si>
    <t>明大前営業所</t>
    <rPh sb="0" eb="3">
      <t>メイダイマエ</t>
    </rPh>
    <rPh sb="3" eb="6">
      <t>エイギョウショ</t>
    </rPh>
    <phoneticPr fontId="3"/>
  </si>
  <si>
    <t>笹塚駅前営業所</t>
    <rPh sb="0" eb="3">
      <t>ササヅカエキ</t>
    </rPh>
    <rPh sb="3" eb="4">
      <t>マエ</t>
    </rPh>
    <rPh sb="4" eb="7">
      <t>エイギョウショ</t>
    </rPh>
    <phoneticPr fontId="3"/>
  </si>
  <si>
    <t>千歳烏山営業所</t>
    <rPh sb="0" eb="2">
      <t>チトセ</t>
    </rPh>
    <rPh sb="2" eb="4">
      <t>カラスヤマ</t>
    </rPh>
    <rPh sb="4" eb="7">
      <t>エイギョウショ</t>
    </rPh>
    <phoneticPr fontId="3"/>
  </si>
  <si>
    <t>練馬区役所前営業所</t>
    <rPh sb="0" eb="5">
      <t>ネリマクヤクショ</t>
    </rPh>
    <rPh sb="5" eb="6">
      <t>マエ</t>
    </rPh>
    <phoneticPr fontId="4"/>
  </si>
  <si>
    <t>中野北口駅前営業所</t>
    <rPh sb="0" eb="6">
      <t>ナカノキタグチエキマエ</t>
    </rPh>
    <rPh sb="6" eb="9">
      <t>エイギョウショ</t>
    </rPh>
    <phoneticPr fontId="3"/>
  </si>
  <si>
    <t>大泉学園営業所</t>
    <rPh sb="0" eb="4">
      <t>オオイズミガクエン</t>
    </rPh>
    <rPh sb="4" eb="7">
      <t>エイギョウショ</t>
    </rPh>
    <phoneticPr fontId="3"/>
  </si>
  <si>
    <t>中野南口営業所</t>
    <rPh sb="0" eb="4">
      <t>ナカノミナミグチ</t>
    </rPh>
    <rPh sb="4" eb="7">
      <t>エイギョウショ</t>
    </rPh>
    <phoneticPr fontId="3"/>
  </si>
  <si>
    <t>三鷹営業所</t>
    <rPh sb="0" eb="2">
      <t>ミタカ</t>
    </rPh>
    <rPh sb="2" eb="5">
      <t>エイギョウショ</t>
    </rPh>
    <phoneticPr fontId="3"/>
  </si>
  <si>
    <t>荻窪南口営業所</t>
    <rPh sb="0" eb="2">
      <t>オギクボ</t>
    </rPh>
    <rPh sb="2" eb="4">
      <t>ミナミグチ</t>
    </rPh>
    <rPh sb="4" eb="7">
      <t>エイギョウショ</t>
    </rPh>
    <phoneticPr fontId="3"/>
  </si>
  <si>
    <t>新宿南口営業所</t>
    <rPh sb="0" eb="2">
      <t>シンジュク</t>
    </rPh>
    <rPh sb="2" eb="3">
      <t>ミナミ</t>
    </rPh>
    <rPh sb="3" eb="4">
      <t>グチ</t>
    </rPh>
    <rPh sb="4" eb="7">
      <t>エイギョウショ</t>
    </rPh>
    <phoneticPr fontId="3"/>
  </si>
  <si>
    <t>立川北口営業所</t>
    <rPh sb="0" eb="4">
      <t>タチカワキタグチ</t>
    </rPh>
    <rPh sb="4" eb="7">
      <t>エイギョウショ</t>
    </rPh>
    <phoneticPr fontId="3"/>
  </si>
  <si>
    <t>桜木町みなとみらい営業所</t>
    <phoneticPr fontId="4"/>
  </si>
  <si>
    <t>横浜地区</t>
    <rPh sb="0" eb="2">
      <t>ヨコハマ</t>
    </rPh>
    <rPh sb="2" eb="4">
      <t>チク</t>
    </rPh>
    <phoneticPr fontId="4"/>
  </si>
  <si>
    <t>戸塚駅前営業所</t>
    <rPh sb="0" eb="3">
      <t>トツカエキ</t>
    </rPh>
    <rPh sb="3" eb="4">
      <t>マエ</t>
    </rPh>
    <rPh sb="4" eb="7">
      <t>エイギョウショ</t>
    </rPh>
    <phoneticPr fontId="3"/>
  </si>
  <si>
    <t>小田原駅新幹線口営業所</t>
    <rPh sb="0" eb="3">
      <t>オダワラ</t>
    </rPh>
    <rPh sb="3" eb="4">
      <t>エキ</t>
    </rPh>
    <rPh sb="4" eb="8">
      <t>シンカンセングチ</t>
    </rPh>
    <rPh sb="8" eb="11">
      <t>エイギョウショ</t>
    </rPh>
    <phoneticPr fontId="3"/>
  </si>
  <si>
    <t>経堂営業所</t>
    <rPh sb="0" eb="1">
      <t>ケイ</t>
    </rPh>
    <rPh sb="1" eb="2">
      <t>ドウ</t>
    </rPh>
    <rPh sb="2" eb="5">
      <t>エイギョウショ</t>
    </rPh>
    <phoneticPr fontId="3"/>
  </si>
  <si>
    <t>用賀駅前営業所</t>
    <phoneticPr fontId="3"/>
  </si>
  <si>
    <t>委託車両洗車・室内清掃（池袋東口営業所）</t>
    <phoneticPr fontId="3"/>
  </si>
  <si>
    <t>諸経費は1日あたり1回加算されるので、スタッフが入力をするのではなく、当日に最低1名の業務報告があった場合に自動で1回として加算（2名で作業をした場合も1回加算）</t>
    <rPh sb="0" eb="3">
      <t>ショケイヒ</t>
    </rPh>
    <rPh sb="5" eb="6">
      <t>ニチ</t>
    </rPh>
    <rPh sb="10" eb="11">
      <t>カイ</t>
    </rPh>
    <rPh sb="11" eb="13">
      <t>カサン</t>
    </rPh>
    <rPh sb="24" eb="26">
      <t>ニュウリョク</t>
    </rPh>
    <rPh sb="35" eb="37">
      <t>トウジツ</t>
    </rPh>
    <rPh sb="38" eb="40">
      <t>サイテイ</t>
    </rPh>
    <rPh sb="41" eb="42">
      <t>メイ</t>
    </rPh>
    <rPh sb="43" eb="45">
      <t>ギョウム</t>
    </rPh>
    <rPh sb="45" eb="47">
      <t>ホウコク</t>
    </rPh>
    <rPh sb="51" eb="53">
      <t>バアイ</t>
    </rPh>
    <rPh sb="54" eb="56">
      <t>ジドウ</t>
    </rPh>
    <rPh sb="58" eb="59">
      <t>カイ</t>
    </rPh>
    <rPh sb="62" eb="64">
      <t>カサン</t>
    </rPh>
    <rPh sb="66" eb="67">
      <t>メイ</t>
    </rPh>
    <rPh sb="68" eb="70">
      <t>サギョウ</t>
    </rPh>
    <rPh sb="73" eb="75">
      <t>バアイ</t>
    </rPh>
    <rPh sb="77" eb="78">
      <t>カイ</t>
    </rPh>
    <rPh sb="78" eb="80">
      <t>カサン</t>
    </rPh>
    <phoneticPr fontId="3"/>
  </si>
  <si>
    <t>委託車両洗車・室内清掃（ＴＸ浅草営業所）</t>
    <phoneticPr fontId="3"/>
  </si>
  <si>
    <t>委託車両洗車・室内清掃（錦糸町営業所）</t>
    <phoneticPr fontId="3"/>
  </si>
  <si>
    <t>委託車両洗車・室内清掃（瑞江営業所）</t>
    <phoneticPr fontId="3"/>
  </si>
  <si>
    <t>委託車両洗車・室内清掃（成増駅前営業所）</t>
    <phoneticPr fontId="3"/>
  </si>
  <si>
    <t>委託車両洗車・室内清掃（日本橋本町営業所）</t>
    <phoneticPr fontId="3"/>
  </si>
  <si>
    <t>委託車両洗車・室内清掃（とうきょうスカイツリー営業所）</t>
    <phoneticPr fontId="3"/>
  </si>
  <si>
    <t>給油業務（とうきょうスカイツリー営業所）</t>
    <phoneticPr fontId="3"/>
  </si>
  <si>
    <t>委託車両洗車・室内清掃（日暮里駅前営業所）</t>
    <phoneticPr fontId="3"/>
  </si>
  <si>
    <t>委託車両洗車・室内清掃（西新井西口駅前営業所）</t>
    <phoneticPr fontId="3"/>
  </si>
  <si>
    <t>委託車両洗車・室内清掃（葛西営業所）</t>
    <phoneticPr fontId="3"/>
  </si>
  <si>
    <t>委託車両洗車・室内清掃（神田営業所）</t>
    <phoneticPr fontId="3"/>
  </si>
  <si>
    <t>委託車両洗車・室内清掃（東京駅八重洲南口営業所）</t>
    <phoneticPr fontId="3"/>
  </si>
  <si>
    <t>委託車両洗車・室内清掃（羽田空港営業所）</t>
    <phoneticPr fontId="3"/>
  </si>
  <si>
    <t>委託車両洗車・室内清掃（豊洲営業所）</t>
    <phoneticPr fontId="3"/>
  </si>
  <si>
    <t>委託車両洗車・室内清掃（大井町駅前営業所）</t>
    <phoneticPr fontId="3"/>
  </si>
  <si>
    <t>委託車両洗車・室内清掃（品川駅前営業所）</t>
    <phoneticPr fontId="3"/>
  </si>
  <si>
    <t>委託車両洗車・室内清掃（恵比寿営業所）</t>
    <phoneticPr fontId="3"/>
  </si>
  <si>
    <t>委託車両洗車・室内清掃（浜松町駅前営業所）</t>
    <phoneticPr fontId="3"/>
  </si>
  <si>
    <t>委託車両洗車・室内清掃（田町・三田NNビル営業所）</t>
    <phoneticPr fontId="3"/>
  </si>
  <si>
    <t>委託車両洗車・室内清掃（目黒不動前営業所）</t>
    <phoneticPr fontId="3"/>
  </si>
  <si>
    <t>委託車両洗車・室内清掃（ANAインターコンチネンタルホテル東京営業所）</t>
    <phoneticPr fontId="3"/>
  </si>
  <si>
    <t>委託車両洗車・室内清掃（自由が丘駅前営業所）</t>
    <phoneticPr fontId="3"/>
  </si>
  <si>
    <t>委託車両洗車・室内清掃（駒沢大学駅前営業所）</t>
    <phoneticPr fontId="3"/>
  </si>
  <si>
    <t>委託車両洗車・室内清掃（三軒茶屋駅前営業所）</t>
    <phoneticPr fontId="3"/>
  </si>
  <si>
    <t>委託車両洗車・室内清掃（渋谷駅新南口営業所）</t>
    <phoneticPr fontId="3"/>
  </si>
  <si>
    <t>委託車両洗車・室内清掃（大森海岸営業所）</t>
    <phoneticPr fontId="3"/>
  </si>
  <si>
    <t>渋谷駅新南口営業所</t>
    <rPh sb="0" eb="2">
      <t>シブヤ</t>
    </rPh>
    <rPh sb="2" eb="3">
      <t>エキ</t>
    </rPh>
    <rPh sb="3" eb="4">
      <t>シン</t>
    </rPh>
    <rPh sb="4" eb="6">
      <t>ミナミグチ</t>
    </rPh>
    <rPh sb="6" eb="9">
      <t>エイギョウショ</t>
    </rPh>
    <phoneticPr fontId="3"/>
  </si>
  <si>
    <t>委託車両洗車・室内清掃（蒲田駅西口営業所）</t>
    <phoneticPr fontId="3"/>
  </si>
  <si>
    <t>蒲田駅西口営業所</t>
    <phoneticPr fontId="3"/>
  </si>
  <si>
    <t>委託車両洗車・室内清掃（明大前営業所）</t>
    <phoneticPr fontId="3"/>
  </si>
  <si>
    <t>委託車両洗車・室内清掃（笹塚駅前営業所）</t>
    <phoneticPr fontId="3"/>
  </si>
  <si>
    <t>委託車両洗車・室内清掃（千歳烏山営業所）</t>
    <phoneticPr fontId="3"/>
  </si>
  <si>
    <t>委託車両洗車・室内清掃（練馬区役所前営業所）</t>
    <phoneticPr fontId="3"/>
  </si>
  <si>
    <t>委託車両洗車・室内清掃（中野北口駅前営業所）</t>
    <phoneticPr fontId="3"/>
  </si>
  <si>
    <t>委託車両洗車・室内清掃（大泉学園営業所）</t>
    <phoneticPr fontId="3"/>
  </si>
  <si>
    <t>委託車両洗車・室内清掃（中野南口営業所）</t>
    <phoneticPr fontId="3"/>
  </si>
  <si>
    <t>委託車両洗車・室内清掃（三鷹営業所）</t>
    <phoneticPr fontId="3"/>
  </si>
  <si>
    <t>委託車両洗車・室内清掃（荻窪南口営業所）</t>
    <phoneticPr fontId="3"/>
  </si>
  <si>
    <t>委託車両洗車・室内清掃（新宿南口営業所）</t>
    <phoneticPr fontId="3"/>
  </si>
  <si>
    <t>委託車両洗車・室内清掃（立川北口営業所）</t>
    <phoneticPr fontId="3"/>
  </si>
  <si>
    <t>委託車両洗車・室内清掃（桜木町みなとみらい営業所）</t>
    <phoneticPr fontId="3"/>
  </si>
  <si>
    <t>点検業務（桜木町みなとみらい営業所）</t>
    <phoneticPr fontId="3"/>
  </si>
  <si>
    <t>給油業務（桜木町みなとみらい営業所）</t>
    <phoneticPr fontId="3"/>
  </si>
  <si>
    <t>車両移動業務（桜木町みなとみらい営業所）</t>
    <phoneticPr fontId="3"/>
  </si>
  <si>
    <t>委託車両洗車・室内清掃（横浜地区）</t>
    <phoneticPr fontId="3"/>
  </si>
  <si>
    <t>点検業務（横浜地区）</t>
  </si>
  <si>
    <t>委託車両洗車・室内清掃（新横浜プリンスペペ営業所）</t>
    <phoneticPr fontId="3"/>
  </si>
  <si>
    <t>点検業務（新横浜プリンスペペ営業所）</t>
    <phoneticPr fontId="3"/>
  </si>
  <si>
    <t>委託車両洗車・室内清掃（戸塚駅前営業所）</t>
    <phoneticPr fontId="3"/>
  </si>
  <si>
    <t>点検業務（戸塚駅前営業所）</t>
    <phoneticPr fontId="3"/>
  </si>
  <si>
    <t>車両移動業務（戸塚駅前営業所）</t>
    <phoneticPr fontId="3"/>
  </si>
  <si>
    <t>委託車両洗車・室内清掃（小田原駅新幹線口営業所）</t>
    <phoneticPr fontId="3"/>
  </si>
  <si>
    <t>委託車両洗車・室内清掃（経堂営業所）</t>
    <phoneticPr fontId="3"/>
  </si>
  <si>
    <t>委託車両洗車・室内清掃（用賀駅前営業所）</t>
    <phoneticPr fontId="3"/>
  </si>
  <si>
    <r>
      <t>顧客名</t>
    </r>
    <r>
      <rPr>
        <sz val="11"/>
        <color rgb="FFFF0000"/>
        <rFont val="Meiryo UI"/>
        <family val="3"/>
        <charset val="128"/>
      </rPr>
      <t>（選択式）</t>
    </r>
    <rPh sb="0" eb="2">
      <t>コキャク</t>
    </rPh>
    <rPh sb="2" eb="3">
      <t>メイ</t>
    </rPh>
    <phoneticPr fontId="3"/>
  </si>
  <si>
    <r>
      <t>台数/回数</t>
    </r>
    <r>
      <rPr>
        <sz val="11"/>
        <color rgb="FFFF0000"/>
        <rFont val="Meiryo UI"/>
        <family val="3"/>
        <charset val="128"/>
      </rPr>
      <t>（入力）</t>
    </r>
    <rPh sb="0" eb="2">
      <t>ダイスウ</t>
    </rPh>
    <rPh sb="3" eb="5">
      <t>カイスウ</t>
    </rPh>
    <rPh sb="6" eb="8">
      <t>ニュウリョク</t>
    </rPh>
    <phoneticPr fontId="3"/>
  </si>
  <si>
    <t>シェアカー車両定期清掃業務一式（乗用車クラス）</t>
  </si>
  <si>
    <t>シェアカー車両定期清掃業務一式（ワゴンクラス）</t>
  </si>
  <si>
    <t>車内消臭除菌業務（次亜塩素酸水使用）</t>
  </si>
  <si>
    <t>車両傷確認及び報告業務</t>
  </si>
  <si>
    <t>コンパウンド処理業務(文庫本サイズ以上)</t>
    <rPh sb="6" eb="8">
      <t>ショリ</t>
    </rPh>
    <rPh sb="8" eb="10">
      <t>ギョウム</t>
    </rPh>
    <rPh sb="11" eb="14">
      <t>ブンコホン</t>
    </rPh>
    <rPh sb="17" eb="19">
      <t>イジョウ</t>
    </rPh>
    <phoneticPr fontId="3"/>
  </si>
  <si>
    <t>コンパウンド処理業務（500円玉以上クレジットカード未満）</t>
    <rPh sb="6" eb="8">
      <t>ショリ</t>
    </rPh>
    <rPh sb="8" eb="10">
      <t>ギョウム</t>
    </rPh>
    <phoneticPr fontId="3"/>
  </si>
  <si>
    <t>タッチペン処理業務（500円玉以上クレジットカード未満）</t>
    <rPh sb="5" eb="7">
      <t>ショリ</t>
    </rPh>
    <rPh sb="7" eb="9">
      <t>ギョウム</t>
    </rPh>
    <phoneticPr fontId="3"/>
  </si>
  <si>
    <t>コンパウンド処理業務（クレジットカード以上文庫分未満）</t>
    <phoneticPr fontId="3"/>
  </si>
  <si>
    <t>コンパウンド処理業務（500円玉サイズ未満）</t>
    <phoneticPr fontId="3"/>
  </si>
  <si>
    <t>タッチペン処理業務（文庫分サイズ以上）</t>
    <phoneticPr fontId="3"/>
  </si>
  <si>
    <t>タッチペン処理業務（クレジットカード以上文庫分未満）</t>
    <phoneticPr fontId="3"/>
  </si>
  <si>
    <t>タッチペン処理業務（500円玉サイズ未満）</t>
    <phoneticPr fontId="3"/>
  </si>
  <si>
    <t>給油代行業務</t>
    <phoneticPr fontId="3"/>
  </si>
  <si>
    <t>カーシェア車両内外装清掃及び点検業務</t>
    <phoneticPr fontId="3"/>
  </si>
  <si>
    <t>カーシェア車両内外装清掃業務</t>
    <phoneticPr fontId="3"/>
  </si>
  <si>
    <t>タイヤ空気圧充填業務</t>
  </si>
  <si>
    <t>タイヤ空気圧充填業務</t>
    <phoneticPr fontId="3"/>
  </si>
  <si>
    <t>オイル補充業務</t>
    <phoneticPr fontId="3"/>
  </si>
  <si>
    <t>入力単位はリットル</t>
    <rPh sb="0" eb="2">
      <t>ニュウリョク</t>
    </rPh>
    <rPh sb="2" eb="4">
      <t>タンイ</t>
    </rPh>
    <phoneticPr fontId="3"/>
  </si>
  <si>
    <t>入力単位は時間（例：9時間の場合は9、8時間半の場合は8.5）</t>
    <rPh sb="0" eb="2">
      <t>ニュウリョク</t>
    </rPh>
    <rPh sb="2" eb="4">
      <t>タンイ</t>
    </rPh>
    <rPh sb="5" eb="7">
      <t>ジカン</t>
    </rPh>
    <rPh sb="8" eb="9">
      <t>レイ</t>
    </rPh>
    <rPh sb="11" eb="13">
      <t>ジカン</t>
    </rPh>
    <rPh sb="14" eb="16">
      <t>バアイ</t>
    </rPh>
    <rPh sb="20" eb="23">
      <t>ジカンハン</t>
    </rPh>
    <rPh sb="24" eb="26">
      <t>バアイ</t>
    </rPh>
    <phoneticPr fontId="3"/>
  </si>
  <si>
    <t>リア尾灯電球交換業務</t>
    <rPh sb="4" eb="6">
      <t>デンキュウ</t>
    </rPh>
    <rPh sb="6" eb="8">
      <t>コウカン</t>
    </rPh>
    <rPh sb="8" eb="10">
      <t>ギョウム</t>
    </rPh>
    <phoneticPr fontId="1"/>
  </si>
  <si>
    <t>給油口レバー交換業務</t>
    <rPh sb="0" eb="2">
      <t>キュウユ</t>
    </rPh>
    <rPh sb="2" eb="3">
      <t>グチ</t>
    </rPh>
    <rPh sb="6" eb="8">
      <t>コウカン</t>
    </rPh>
    <rPh sb="8" eb="10">
      <t>ギョウム</t>
    </rPh>
    <phoneticPr fontId="1"/>
  </si>
  <si>
    <t>ハッチバックのドアが開かないことへの対応</t>
    <rPh sb="10" eb="11">
      <t>ヒラ</t>
    </rPh>
    <rPh sb="18" eb="20">
      <t>タイオウ</t>
    </rPh>
    <phoneticPr fontId="1"/>
  </si>
  <si>
    <t>フロント車幅灯交換業務</t>
    <rPh sb="7" eb="9">
      <t>コウカン</t>
    </rPh>
    <rPh sb="9" eb="11">
      <t>ギョウム</t>
    </rPh>
    <phoneticPr fontId="3"/>
  </si>
  <si>
    <t>フロントウィンカー交換業務</t>
    <rPh sb="9" eb="11">
      <t>コウカン</t>
    </rPh>
    <rPh sb="11" eb="13">
      <t>ギョウム</t>
    </rPh>
    <phoneticPr fontId="3"/>
  </si>
  <si>
    <t>ヘッドライト交換業務</t>
    <rPh sb="6" eb="8">
      <t>コウカン</t>
    </rPh>
    <rPh sb="8" eb="10">
      <t>ギョウム</t>
    </rPh>
    <phoneticPr fontId="3"/>
  </si>
  <si>
    <t>リアウィンカー交換業務</t>
    <rPh sb="7" eb="9">
      <t>コウカン</t>
    </rPh>
    <rPh sb="9" eb="11">
      <t>ギョウム</t>
    </rPh>
    <phoneticPr fontId="3"/>
  </si>
  <si>
    <t>ブレーキ灯交換業務</t>
    <rPh sb="5" eb="7">
      <t>コウカン</t>
    </rPh>
    <rPh sb="7" eb="9">
      <t>ギョウム</t>
    </rPh>
    <phoneticPr fontId="3"/>
  </si>
  <si>
    <t>バッグランプ交換業務</t>
    <rPh sb="6" eb="8">
      <t>コウカン</t>
    </rPh>
    <rPh sb="8" eb="10">
      <t>ギョウム</t>
    </rPh>
    <phoneticPr fontId="3"/>
  </si>
  <si>
    <t>GPSトラッカー取付業務</t>
    <rPh sb="8" eb="9">
      <t>ト</t>
    </rPh>
    <rPh sb="9" eb="10">
      <t>ツ</t>
    </rPh>
    <rPh sb="10" eb="12">
      <t>ギョウム</t>
    </rPh>
    <phoneticPr fontId="1"/>
  </si>
  <si>
    <t xml:space="preserve">コンパウンド処理業務（文庫本サイズ以上） </t>
    <rPh sb="13" eb="14">
      <t>ホン</t>
    </rPh>
    <phoneticPr fontId="1"/>
  </si>
  <si>
    <t>コンパウンド処理業務（クレジットカード以上文庫本未満）</t>
    <rPh sb="23" eb="24">
      <t>ホン</t>
    </rPh>
    <phoneticPr fontId="1"/>
  </si>
  <si>
    <t>コンパウンド処理業務（500円玉以上クレジットカード未満）</t>
  </si>
  <si>
    <t xml:space="preserve">タッチペン処理業務（文庫本サイズ以上） </t>
    <rPh sb="12" eb="13">
      <t>ホン</t>
    </rPh>
    <phoneticPr fontId="1"/>
  </si>
  <si>
    <t>タッチペン処理業務（クレジットカード以上文庫本未満）</t>
    <rPh sb="22" eb="23">
      <t>ホン</t>
    </rPh>
    <phoneticPr fontId="1"/>
  </si>
  <si>
    <t>タッチペン処理業務（500円玉以上クレジットカード未満）</t>
  </si>
  <si>
    <t>拾得物回収及び管理業務（警察届）</t>
    <rPh sb="0" eb="2">
      <t>シュウトク</t>
    </rPh>
    <rPh sb="2" eb="3">
      <t>ブツ</t>
    </rPh>
    <rPh sb="3" eb="5">
      <t>カイシュウ</t>
    </rPh>
    <rPh sb="5" eb="6">
      <t>オヨ</t>
    </rPh>
    <rPh sb="7" eb="9">
      <t>カンリ</t>
    </rPh>
    <rPh sb="9" eb="11">
      <t>ギョウム</t>
    </rPh>
    <rPh sb="12" eb="14">
      <t>ケイサツ</t>
    </rPh>
    <rPh sb="14" eb="15">
      <t>トドケ</t>
    </rPh>
    <phoneticPr fontId="3"/>
  </si>
  <si>
    <t>拾得物回収及び管理業務（発送）</t>
    <rPh sb="0" eb="2">
      <t>シュウトク</t>
    </rPh>
    <rPh sb="2" eb="3">
      <t>ブツ</t>
    </rPh>
    <rPh sb="3" eb="5">
      <t>カイシュウ</t>
    </rPh>
    <rPh sb="5" eb="6">
      <t>オヨ</t>
    </rPh>
    <rPh sb="7" eb="9">
      <t>カンリ</t>
    </rPh>
    <rPh sb="9" eb="11">
      <t>ギョウム</t>
    </rPh>
    <rPh sb="12" eb="14">
      <t>ハッソウ</t>
    </rPh>
    <phoneticPr fontId="3"/>
  </si>
  <si>
    <t>バッテリージャンピング業務</t>
    <phoneticPr fontId="3"/>
  </si>
  <si>
    <t>バッテリー充電走行（10km)</t>
    <phoneticPr fontId="3"/>
  </si>
  <si>
    <t>エブリゴー車両メンテナンス・清掃業務一式</t>
    <phoneticPr fontId="3"/>
  </si>
  <si>
    <t>エブリゴー車両除菌業務</t>
  </si>
  <si>
    <t>エブリゴー車両除菌業務</t>
    <phoneticPr fontId="3"/>
  </si>
  <si>
    <t>エブリゴー車両給油代行業務</t>
    <phoneticPr fontId="3"/>
  </si>
  <si>
    <t>入力があった場合は備考欄を表示し、右記の情報を入力するよう表示→必須記載事項：①ステーション名　②車種　③車番（地域ナンバーから正確に入力）　④対応業務詳細</t>
    <rPh sb="0" eb="2">
      <t>ニュウリョク</t>
    </rPh>
    <rPh sb="6" eb="8">
      <t>バアイ</t>
    </rPh>
    <rPh sb="9" eb="11">
      <t>ビコウ</t>
    </rPh>
    <rPh sb="11" eb="12">
      <t>ラン</t>
    </rPh>
    <rPh sb="13" eb="15">
      <t>ヒョウジ</t>
    </rPh>
    <rPh sb="17" eb="19">
      <t>ウキ</t>
    </rPh>
    <rPh sb="20" eb="22">
      <t>ジョウホウ</t>
    </rPh>
    <rPh sb="23" eb="25">
      <t>ニュウリョク</t>
    </rPh>
    <rPh sb="29" eb="31">
      <t>ヒョウジ</t>
    </rPh>
    <rPh sb="32" eb="34">
      <t>ヒッス</t>
    </rPh>
    <rPh sb="34" eb="36">
      <t>キサイ</t>
    </rPh>
    <rPh sb="36" eb="38">
      <t>ジコウ</t>
    </rPh>
    <rPh sb="46" eb="47">
      <t>メイ</t>
    </rPh>
    <rPh sb="49" eb="51">
      <t>シャシュ</t>
    </rPh>
    <rPh sb="53" eb="55">
      <t>シャバン</t>
    </rPh>
    <rPh sb="56" eb="58">
      <t>チイキ</t>
    </rPh>
    <rPh sb="64" eb="66">
      <t>セイカク</t>
    </rPh>
    <rPh sb="67" eb="69">
      <t>ニュウリョク</t>
    </rPh>
    <rPh sb="72" eb="74">
      <t>タイオウ</t>
    </rPh>
    <rPh sb="74" eb="76">
      <t>ギョウム</t>
    </rPh>
    <rPh sb="76" eb="78">
      <t>ショウサイ</t>
    </rPh>
    <phoneticPr fontId="3"/>
  </si>
  <si>
    <t>長期休暇中緊急対応業務基本料金</t>
    <phoneticPr fontId="3"/>
  </si>
  <si>
    <t>バンクレンタカー車両巡回清掃及び点検業務</t>
  </si>
  <si>
    <t>各業務選択後に別シートの車種を車両欄から選択必須</t>
  </si>
  <si>
    <t>各業務選択後に別シートの車種を車両欄から選択必須</t>
    <rPh sb="7" eb="8">
      <t>ベツ</t>
    </rPh>
    <rPh sb="15" eb="17">
      <t>シャリョウ</t>
    </rPh>
    <rPh sb="17" eb="18">
      <t>ラン</t>
    </rPh>
    <rPh sb="22" eb="24">
      <t>ヒッス</t>
    </rPh>
    <phoneticPr fontId="3"/>
  </si>
  <si>
    <t>空気圧充填業務</t>
    <phoneticPr fontId="3"/>
  </si>
  <si>
    <t xml:space="preserve">傷コンパウンド処理 (クレジッ トカー ドサイズ以上) </t>
    <phoneticPr fontId="3"/>
  </si>
  <si>
    <t xml:space="preserve">傷コンパウンド処理 (クレジッ トカー ドサイズ以下) </t>
    <phoneticPr fontId="3"/>
  </si>
  <si>
    <t>遠隔地追加費用（神奈川県海老名市）</t>
  </si>
  <si>
    <t>遠隔地追加費用（神奈川県平塚市）</t>
    <rPh sb="12" eb="14">
      <t>ヒラツカ</t>
    </rPh>
    <phoneticPr fontId="8"/>
  </si>
  <si>
    <t>遠隔地追加費用（茨城県つくば市）</t>
    <rPh sb="8" eb="11">
      <t>イバラキケン</t>
    </rPh>
    <rPh sb="14" eb="15">
      <t>シ</t>
    </rPh>
    <phoneticPr fontId="8"/>
  </si>
  <si>
    <t>遠隔地追加費用（埼玉県さいたま市）</t>
    <rPh sb="8" eb="11">
      <t>サイタマケン</t>
    </rPh>
    <rPh sb="15" eb="16">
      <t>シ</t>
    </rPh>
    <phoneticPr fontId="8"/>
  </si>
  <si>
    <t>遠隔地追加費用（埼玉県朝霞市）</t>
    <rPh sb="8" eb="11">
      <t>サイタマケン</t>
    </rPh>
    <rPh sb="11" eb="13">
      <t>アサカ</t>
    </rPh>
    <rPh sb="13" eb="14">
      <t>シ</t>
    </rPh>
    <phoneticPr fontId="8"/>
  </si>
  <si>
    <t>遠隔地追加費用（千葉県浦安市）</t>
  </si>
  <si>
    <t>遠隔地追加費用（千葉県習志野市）</t>
  </si>
  <si>
    <t>遠隔地追加費用（兵庫県芦屋市）</t>
  </si>
  <si>
    <t>　〃</t>
    <phoneticPr fontId="3"/>
  </si>
  <si>
    <t>緊急対応業務(24時間以内対応)</t>
    <phoneticPr fontId="3"/>
  </si>
  <si>
    <t>緊急対応業務(48時間以内対応)</t>
    <phoneticPr fontId="3"/>
  </si>
  <si>
    <t>別シートの選択車両に応じて1台につき自動で1回分加算（スタッフは選択しない）</t>
    <rPh sb="0" eb="1">
      <t>ベツ</t>
    </rPh>
    <rPh sb="5" eb="7">
      <t>センタク</t>
    </rPh>
    <rPh sb="7" eb="9">
      <t>シャリョウ</t>
    </rPh>
    <rPh sb="10" eb="11">
      <t>オウ</t>
    </rPh>
    <rPh sb="14" eb="15">
      <t>ダイ</t>
    </rPh>
    <rPh sb="18" eb="20">
      <t>ジドウ</t>
    </rPh>
    <rPh sb="22" eb="23">
      <t>カイ</t>
    </rPh>
    <rPh sb="23" eb="24">
      <t>ブン</t>
    </rPh>
    <rPh sb="24" eb="26">
      <t>カサン</t>
    </rPh>
    <rPh sb="32" eb="34">
      <t>センタク</t>
    </rPh>
    <phoneticPr fontId="3"/>
  </si>
  <si>
    <t>バッテリージャンピング業務</t>
    <rPh sb="11" eb="13">
      <t>ギョウム</t>
    </rPh>
    <phoneticPr fontId="3"/>
  </si>
  <si>
    <t>車内消臭業務（消臭剤代含む）</t>
    <phoneticPr fontId="3"/>
  </si>
  <si>
    <t>ザ・パークハウス西麻布レジデンス</t>
  </si>
  <si>
    <t>パークシティ武蔵野桜堤</t>
  </si>
  <si>
    <t>TPH晴海タワーズクロノレジデンス</t>
  </si>
  <si>
    <t>オーベル明石町レジデンス</t>
  </si>
  <si>
    <t>アデニウムコート木場</t>
  </si>
  <si>
    <t>ザ・レジデンス千歳船橋</t>
  </si>
  <si>
    <t>プラウド新浦安パームコート</t>
  </si>
  <si>
    <t>ザ・パークハウス新浦安マリンヴィラ</t>
  </si>
  <si>
    <t>ザ・レジデンス津田沼奏の杜</t>
  </si>
  <si>
    <t>ザ・パークハウス津田沼奏の杜</t>
  </si>
  <si>
    <t>ザ・レジデンス津田沼奏の杜テラス</t>
  </si>
  <si>
    <t>津田沼ザ・タワー</t>
  </si>
  <si>
    <t>ウエリスつくば竹園</t>
  </si>
  <si>
    <t>ウェリスつくば研究学園テラス</t>
  </si>
  <si>
    <t>ザ・パークハウス西新宿タワー60</t>
  </si>
  <si>
    <t>ザ・パークハウスオイコス赤羽志茂</t>
  </si>
  <si>
    <t>ライオンズガーデン成増ヴィスタヒル</t>
  </si>
  <si>
    <t>グランドミッドタワーズ大宮</t>
  </si>
  <si>
    <t>シャリエ朝霞グランフィールド</t>
  </si>
  <si>
    <t>パークシティ南千里丘</t>
  </si>
  <si>
    <t>ローレルスクエア健都ザ・テラス</t>
  </si>
  <si>
    <t>ローレルスクエア健都ザ・レジデンス</t>
  </si>
  <si>
    <t>鶴見横堤ガーデンズマーク</t>
  </si>
  <si>
    <t>Brillia青葉荏田</t>
  </si>
  <si>
    <t>Brillia藤が丘</t>
  </si>
  <si>
    <t>青葉台コートテラス</t>
    <rPh sb="0" eb="3">
      <t>アオバダイ</t>
    </rPh>
    <phoneticPr fontId="4"/>
  </si>
  <si>
    <t>レーベン新川崎デュアリズム</t>
  </si>
  <si>
    <t>プレミスト港北センターレジデンス</t>
  </si>
  <si>
    <t>プラウドシティ元住吉</t>
  </si>
  <si>
    <t>アデニウム川崎</t>
  </si>
  <si>
    <t>プラウドシティ大田六郷</t>
  </si>
  <si>
    <t>パークナード潮芦屋</t>
  </si>
  <si>
    <t>BrilliaWELLITH文京千駄木</t>
  </si>
  <si>
    <t>レクセルガーデン川崎殿町</t>
  </si>
  <si>
    <t>グレーシアシティ川崎大師河原</t>
  </si>
  <si>
    <t>リヴァリエＢ・Ｃ棟</t>
  </si>
  <si>
    <t>プラウドシティ阿佐ヶ谷</t>
  </si>
  <si>
    <t>グレーシアタワーズ海老名イースト</t>
  </si>
  <si>
    <t>グレーシアタワーズ海老名ウエスト</t>
  </si>
  <si>
    <t>グレーシア湘南平塚海岸</t>
  </si>
  <si>
    <t>グレーシア横浜十日市場</t>
  </si>
  <si>
    <t>ガリシア上池台</t>
    <rPh sb="4" eb="7">
      <t>カミイケダイ</t>
    </rPh>
    <phoneticPr fontId="4"/>
  </si>
  <si>
    <t>サンクタス目黒大塚山</t>
  </si>
  <si>
    <t>パークタワー横濱星川</t>
  </si>
  <si>
    <t>グレーシア横濱ベイ</t>
  </si>
  <si>
    <t>ザ・パークハウス追浜</t>
  </si>
  <si>
    <t>ＢＭＷ　Ｚ４（品川302わ5859）</t>
  </si>
  <si>
    <t>シエンタHEV（多摩503わ1953）</t>
  </si>
  <si>
    <t>ヤリス（品川505わ8667）</t>
  </si>
  <si>
    <t>シエンタHEV（品川505わ8614）</t>
  </si>
  <si>
    <t>ノート　e-POWER（品川505わ8703）</t>
  </si>
  <si>
    <t>MAZDA2（江東500わ3154）</t>
  </si>
  <si>
    <t>ヤリス（世田谷500わ5211）</t>
  </si>
  <si>
    <t>プリウスHEV（習志野300わ4019）</t>
  </si>
  <si>
    <t>デリカD:5（軽油）（習志野300わ3843）</t>
  </si>
  <si>
    <t>MAZDA2（習志野501わ3531）</t>
  </si>
  <si>
    <t>シエンタ（習志野501わ4184）</t>
  </si>
  <si>
    <t>スペーシア（習志野580わ2963）</t>
  </si>
  <si>
    <t>シエンタHEV（習志野501わ3568）</t>
  </si>
  <si>
    <t>スペーシア（習志野580わ2716）</t>
  </si>
  <si>
    <t>シエンタHEV（習志野501わ3813）</t>
  </si>
  <si>
    <t>スペーシア（習志野580わ2799）</t>
  </si>
  <si>
    <t>ヴォクシー（習志野300わ4062）</t>
  </si>
  <si>
    <t>ヤリス（習志野501 わ4106）</t>
  </si>
  <si>
    <t>ヤリス（習志野501わ4107）</t>
  </si>
  <si>
    <t>スペーシア（つくば580わ3191）</t>
  </si>
  <si>
    <t>ヤリス（つくば500わ6996）</t>
  </si>
  <si>
    <t>CX-30（練馬500わ2045）</t>
  </si>
  <si>
    <t>CX-30（練馬301わ1365）</t>
  </si>
  <si>
    <t>ヴォクシー（練馬301わ1376）</t>
  </si>
  <si>
    <t>シエンタHEV（練馬503わ8059）</t>
  </si>
  <si>
    <t>フィット　e:HEV（所沢501わ1030）</t>
  </si>
  <si>
    <t>ヤリス（大宮502わ7774）</t>
  </si>
  <si>
    <t>ヤリス（大宮502わ7775）</t>
  </si>
  <si>
    <t>スペーシア（大宮580わ7890）</t>
  </si>
  <si>
    <t>デリカD:5（所沢300わ4570）</t>
  </si>
  <si>
    <t>スペーシア（大阪581わ2927）</t>
  </si>
  <si>
    <t>スペーシア（大阪581わ3009）</t>
  </si>
  <si>
    <t>ＳＴＥＰＷＧＮ　e-HEV（大阪301わ1200）</t>
  </si>
  <si>
    <t>ワゴンR（なにわ580わ7111）</t>
  </si>
  <si>
    <t>ヴォクシー HEV（なにわ301わ2163）</t>
  </si>
  <si>
    <t>ワゴンR（横浜580わ7903）</t>
  </si>
  <si>
    <t>スペーシア（横浜580わ7900）</t>
  </si>
  <si>
    <t>ヤリス（川崎501わ4753）</t>
  </si>
  <si>
    <t>スペーシア（川崎580わ2007）</t>
  </si>
  <si>
    <t>ヤリス（横浜504わ4314 ）</t>
  </si>
  <si>
    <t>ヤリス（川崎501わ5412）</t>
  </si>
  <si>
    <t>ヤリス（川崎501わ4972）</t>
  </si>
  <si>
    <t>セレナ（品川302わ3953）</t>
  </si>
  <si>
    <t>ヤリス（神戸505わ1826）</t>
  </si>
  <si>
    <t>スペーシア（練馬580わ3853）</t>
  </si>
  <si>
    <t>スペーシア（川崎580わ2271）</t>
  </si>
  <si>
    <t>リーフ（川崎300わ3441）</t>
  </si>
  <si>
    <t>セレナ（川崎300わ5439）</t>
  </si>
  <si>
    <t>スペーシア（川崎580わ2176）</t>
  </si>
  <si>
    <t>ヤリス（杉並500わ3093）</t>
  </si>
  <si>
    <t>スペーシア（杉並580わ473）</t>
  </si>
  <si>
    <t>ヤリス（相模501わ9212）</t>
  </si>
  <si>
    <t>ヤリス（相模501わ8602）</t>
  </si>
  <si>
    <t>エクリプスクロスPHEV（湘南300わ4630）</t>
  </si>
  <si>
    <t>ノート（品川505 わ 3860）</t>
  </si>
  <si>
    <t>スペーシア（品川わ5916）</t>
  </si>
  <si>
    <t>MAZDA2（品川504わ8928）</t>
  </si>
  <si>
    <t>ヤリス（横浜504わ2178）</t>
  </si>
  <si>
    <t>N-ONE（横浜580わ8329）</t>
  </si>
  <si>
    <t>N-ONE（横浜580わ8330）</t>
  </si>
  <si>
    <t>リーフ（横浜301わ9522）</t>
  </si>
  <si>
    <t>ソリオ（横浜504わ350）</t>
  </si>
  <si>
    <t>スペーシア（横浜580わ9118）</t>
  </si>
  <si>
    <t>ソリオ（横浜504わ351）</t>
  </si>
  <si>
    <t>スペーシア（横浜580わ7856）</t>
  </si>
  <si>
    <t>ソリオ（横浜504わ954）</t>
  </si>
  <si>
    <t>ソリオ（横浜504わ955）</t>
  </si>
  <si>
    <t>ソリオ（横浜504わ1161）</t>
  </si>
  <si>
    <t>スペーシア（川崎580わ2029）</t>
  </si>
  <si>
    <t>ヤリス（大阪503わ8692）</t>
  </si>
  <si>
    <t/>
  </si>
  <si>
    <t>選択項目①（ステーション）</t>
    <rPh sb="0" eb="2">
      <t>センタク</t>
    </rPh>
    <rPh sb="2" eb="4">
      <t>コウモク</t>
    </rPh>
    <phoneticPr fontId="3"/>
  </si>
  <si>
    <t>選択項目②（車両）</t>
    <rPh sb="0" eb="2">
      <t>センタク</t>
    </rPh>
    <rPh sb="2" eb="4">
      <t>コウモク</t>
    </rPh>
    <rPh sb="6" eb="8">
      <t>シャリョウ</t>
    </rPh>
    <phoneticPr fontId="3"/>
  </si>
  <si>
    <t>フィット（横浜501わ2497）</t>
    <phoneticPr fontId="3"/>
  </si>
  <si>
    <t>ベンツC200 （品川302わ5833）</t>
    <phoneticPr fontId="3"/>
  </si>
  <si>
    <t>遠隔地追加費用（神奈川県平塚市）</t>
    <rPh sb="8" eb="12">
      <t>カナガワケン</t>
    </rPh>
    <rPh sb="12" eb="14">
      <t>ヒラツカ</t>
    </rPh>
    <rPh sb="14" eb="15">
      <t>シ</t>
    </rPh>
    <phoneticPr fontId="3"/>
  </si>
  <si>
    <t>遠隔地追加費用（神奈川県海老名市）</t>
    <rPh sb="8" eb="12">
      <t>カナガワケン</t>
    </rPh>
    <rPh sb="12" eb="15">
      <t>エビナ</t>
    </rPh>
    <rPh sb="15" eb="16">
      <t>シ</t>
    </rPh>
    <phoneticPr fontId="3"/>
  </si>
  <si>
    <t>遠隔地追加費用対象車両（自動計算）</t>
    <rPh sb="0" eb="3">
      <t>エンカクチ</t>
    </rPh>
    <rPh sb="3" eb="5">
      <t>ツイカ</t>
    </rPh>
    <rPh sb="5" eb="7">
      <t>ヒヨウ</t>
    </rPh>
    <rPh sb="7" eb="9">
      <t>タイショウ</t>
    </rPh>
    <rPh sb="9" eb="11">
      <t>シャリョウ</t>
    </rPh>
    <rPh sb="12" eb="14">
      <t>ジドウ</t>
    </rPh>
    <rPh sb="14" eb="16">
      <t>ケイサン</t>
    </rPh>
    <phoneticPr fontId="3"/>
  </si>
  <si>
    <t>eemo車両巡回清掃及び点検業務</t>
    <phoneticPr fontId="3"/>
  </si>
  <si>
    <t>デイームス蔵前レジデンス</t>
  </si>
  <si>
    <t>S-LINKS渋谷</t>
  </si>
  <si>
    <t>LEAF（足立301わ1205）</t>
  </si>
  <si>
    <t>SAKURA（品川580わ4627）</t>
  </si>
  <si>
    <t>LEAF（湘南300わ3790）</t>
  </si>
  <si>
    <t>ドライブレコーダーフォーマット業務</t>
  </si>
  <si>
    <t>画像撮影業務</t>
  </si>
  <si>
    <t>スマートキー電池交換業務</t>
    <phoneticPr fontId="3"/>
  </si>
  <si>
    <t>入力があった場合は備考欄を表示し、右記の情報を入力するよう表示→必須記載事項：①ステーション名　②車番（地域ナンバーから正確に入力）</t>
    <rPh sb="0" eb="2">
      <t>ニュウリョク</t>
    </rPh>
    <rPh sb="6" eb="8">
      <t>バアイ</t>
    </rPh>
    <rPh sb="9" eb="11">
      <t>ビコウ</t>
    </rPh>
    <rPh sb="11" eb="12">
      <t>ラン</t>
    </rPh>
    <rPh sb="13" eb="15">
      <t>ヒョウジ</t>
    </rPh>
    <rPh sb="17" eb="19">
      <t>ウキ</t>
    </rPh>
    <rPh sb="20" eb="22">
      <t>ジョウホウ</t>
    </rPh>
    <rPh sb="23" eb="25">
      <t>ニュウリョク</t>
    </rPh>
    <rPh sb="29" eb="31">
      <t>ヒョウジ</t>
    </rPh>
    <rPh sb="32" eb="34">
      <t>ヒッス</t>
    </rPh>
    <rPh sb="34" eb="36">
      <t>キサイ</t>
    </rPh>
    <rPh sb="36" eb="38">
      <t>ジコウ</t>
    </rPh>
    <rPh sb="46" eb="47">
      <t>メイ</t>
    </rPh>
    <rPh sb="49" eb="51">
      <t>シャバン</t>
    </rPh>
    <rPh sb="52" eb="54">
      <t>チイキ</t>
    </rPh>
    <rPh sb="60" eb="62">
      <t>セイカク</t>
    </rPh>
    <rPh sb="63" eb="65">
      <t>ニュウリョク</t>
    </rPh>
    <phoneticPr fontId="3"/>
  </si>
  <si>
    <t>受託車両メンテナンス・清掃業務一式</t>
    <phoneticPr fontId="3"/>
  </si>
  <si>
    <t>盛岡駅前店</t>
    <rPh sb="0" eb="3">
      <t>モリオカエキ</t>
    </rPh>
    <rPh sb="3" eb="4">
      <t>マエ</t>
    </rPh>
    <rPh sb="4" eb="5">
      <t>テン</t>
    </rPh>
    <phoneticPr fontId="3"/>
  </si>
  <si>
    <t>車両清掃業務一式（軽・乗用車・バン・トラック）（オリックスレンタカー盛岡駅前店）</t>
    <phoneticPr fontId="3"/>
  </si>
  <si>
    <t>日常点検代行業務（オリックスレンタカー盛岡駅前店）</t>
    <phoneticPr fontId="3"/>
  </si>
  <si>
    <t>青森空港店</t>
    <rPh sb="0" eb="2">
      <t>アオモリ</t>
    </rPh>
    <rPh sb="2" eb="4">
      <t>クウコウ</t>
    </rPh>
    <rPh sb="4" eb="5">
      <t>テン</t>
    </rPh>
    <phoneticPr fontId="3"/>
  </si>
  <si>
    <t>車両清掃業務一式（軽・乗用車・バン・トラック）（オリックスレンタカー青森空港店）</t>
    <rPh sb="0" eb="2">
      <t>シャリョウ</t>
    </rPh>
    <rPh sb="2" eb="4">
      <t>セイソウ</t>
    </rPh>
    <rPh sb="4" eb="6">
      <t>ギョウム</t>
    </rPh>
    <rPh sb="6" eb="8">
      <t>イッシキ</t>
    </rPh>
    <rPh sb="9" eb="10">
      <t>ケイ</t>
    </rPh>
    <rPh sb="11" eb="14">
      <t>ジョウヨウシャ</t>
    </rPh>
    <rPh sb="34" eb="36">
      <t>アオモリ</t>
    </rPh>
    <rPh sb="36" eb="38">
      <t>クウコウ</t>
    </rPh>
    <phoneticPr fontId="2"/>
  </si>
  <si>
    <t>日常点検代行業務（オリックスレンタカー青森空港店）</t>
    <rPh sb="0" eb="2">
      <t>ニチジョウ</t>
    </rPh>
    <rPh sb="2" eb="4">
      <t>テンケン</t>
    </rPh>
    <rPh sb="4" eb="6">
      <t>ダイコウ</t>
    </rPh>
    <rPh sb="6" eb="8">
      <t>ギョウム</t>
    </rPh>
    <phoneticPr fontId="2"/>
  </si>
  <si>
    <t>町屋店</t>
    <rPh sb="0" eb="2">
      <t>マチヤ</t>
    </rPh>
    <rPh sb="2" eb="3">
      <t>テン</t>
    </rPh>
    <phoneticPr fontId="3"/>
  </si>
  <si>
    <t>葛西店</t>
    <rPh sb="0" eb="2">
      <t>カサイ</t>
    </rPh>
    <rPh sb="2" eb="3">
      <t>テン</t>
    </rPh>
    <phoneticPr fontId="3"/>
  </si>
  <si>
    <t>東雲駅前店</t>
    <rPh sb="0" eb="2">
      <t>シノノメ</t>
    </rPh>
    <rPh sb="2" eb="4">
      <t>エキマエ</t>
    </rPh>
    <rPh sb="4" eb="5">
      <t>テン</t>
    </rPh>
    <phoneticPr fontId="3"/>
  </si>
  <si>
    <t>車両清掃業務一式（軽・乗用車・バン・トラック）（オリックスレンタカー東雲駅前店）</t>
    <rPh sb="0" eb="2">
      <t>シャリョウ</t>
    </rPh>
    <rPh sb="2" eb="4">
      <t>セイソウ</t>
    </rPh>
    <rPh sb="4" eb="6">
      <t>ギョウム</t>
    </rPh>
    <rPh sb="6" eb="8">
      <t>イッシキ</t>
    </rPh>
    <rPh sb="9" eb="10">
      <t>ケイ</t>
    </rPh>
    <rPh sb="11" eb="14">
      <t>ジョウヨウシャ</t>
    </rPh>
    <rPh sb="34" eb="36">
      <t>シノノメ</t>
    </rPh>
    <rPh sb="36" eb="37">
      <t>エキ</t>
    </rPh>
    <rPh sb="37" eb="38">
      <t>マエ</t>
    </rPh>
    <rPh sb="38" eb="39">
      <t>テン</t>
    </rPh>
    <phoneticPr fontId="2"/>
  </si>
  <si>
    <t>車両清掃業務一式（WAクラス以上）（オリックスレンタカー東雲駅前店）</t>
    <rPh sb="0" eb="2">
      <t>シャリョウ</t>
    </rPh>
    <rPh sb="2" eb="4">
      <t>セイソウ</t>
    </rPh>
    <rPh sb="4" eb="6">
      <t>ギョウム</t>
    </rPh>
    <rPh sb="6" eb="8">
      <t>イッシキ</t>
    </rPh>
    <rPh sb="14" eb="16">
      <t>イジョウ</t>
    </rPh>
    <rPh sb="28" eb="30">
      <t>シノノメ</t>
    </rPh>
    <rPh sb="30" eb="31">
      <t>エキ</t>
    </rPh>
    <rPh sb="31" eb="32">
      <t>マエ</t>
    </rPh>
    <rPh sb="32" eb="33">
      <t>テン</t>
    </rPh>
    <phoneticPr fontId="2"/>
  </si>
  <si>
    <t>日常点検代行業務（オリックスレンタカー東雲駅前店）</t>
    <rPh sb="0" eb="2">
      <t>ニチジョウ</t>
    </rPh>
    <rPh sb="2" eb="4">
      <t>テンケン</t>
    </rPh>
    <rPh sb="4" eb="6">
      <t>ダイコウ</t>
    </rPh>
    <rPh sb="6" eb="8">
      <t>ギョウム</t>
    </rPh>
    <rPh sb="19" eb="21">
      <t>シノノメ</t>
    </rPh>
    <rPh sb="21" eb="22">
      <t>エキ</t>
    </rPh>
    <rPh sb="22" eb="23">
      <t>マエ</t>
    </rPh>
    <rPh sb="23" eb="24">
      <t>テン</t>
    </rPh>
    <phoneticPr fontId="2"/>
  </si>
  <si>
    <t>車内清掃業務（WAクラス以上）（オリックスレンタカー葛西店）</t>
    <rPh sb="12" eb="14">
      <t>イジョウ</t>
    </rPh>
    <rPh sb="26" eb="28">
      <t>カサイ</t>
    </rPh>
    <rPh sb="28" eb="29">
      <t>テン</t>
    </rPh>
    <phoneticPr fontId="2"/>
  </si>
  <si>
    <t>日常点検代行業務（オリックスレンタカー葛西店）</t>
    <rPh sb="0" eb="2">
      <t>ニチジョウ</t>
    </rPh>
    <rPh sb="2" eb="4">
      <t>テンケン</t>
    </rPh>
    <rPh sb="4" eb="6">
      <t>ダイコウ</t>
    </rPh>
    <rPh sb="6" eb="8">
      <t>ギョウム</t>
    </rPh>
    <rPh sb="19" eb="21">
      <t>カサイ</t>
    </rPh>
    <rPh sb="21" eb="22">
      <t>テン</t>
    </rPh>
    <phoneticPr fontId="2"/>
  </si>
  <si>
    <t>車両清掃業務一式（軽・乗用車・バン・トラック）（オリックスレンタカー町屋店）</t>
    <rPh sb="0" eb="2">
      <t>シャリョウ</t>
    </rPh>
    <rPh sb="2" eb="4">
      <t>セイソウ</t>
    </rPh>
    <rPh sb="4" eb="6">
      <t>ギョウム</t>
    </rPh>
    <rPh sb="6" eb="8">
      <t>イッシキ</t>
    </rPh>
    <rPh sb="9" eb="10">
      <t>ケイ</t>
    </rPh>
    <rPh sb="11" eb="14">
      <t>ジョウヨウシャ</t>
    </rPh>
    <rPh sb="36" eb="37">
      <t>テン</t>
    </rPh>
    <phoneticPr fontId="2"/>
  </si>
  <si>
    <t>車両清掃業務一式（WAクラス以上）（オリックスレンタカー町屋店）</t>
  </si>
  <si>
    <t>日常点検代行業務（オリックスレンタカー町屋店）</t>
  </si>
  <si>
    <t>車内清掃業務（軽・乗用車・バン・トラック）（オリックスレンタカー葛西店）</t>
    <phoneticPr fontId="3"/>
  </si>
  <si>
    <t>横浜支社</t>
    <rPh sb="0" eb="2">
      <t>ヨコハマ</t>
    </rPh>
    <rPh sb="2" eb="4">
      <t>シシャ</t>
    </rPh>
    <phoneticPr fontId="3"/>
  </si>
  <si>
    <t>委託車両洗車（軽自動車）</t>
    <rPh sb="7" eb="11">
      <t>ケイジドウシャ</t>
    </rPh>
    <phoneticPr fontId="3"/>
  </si>
  <si>
    <t>傷確認</t>
    <rPh sb="0" eb="1">
      <t>キズ</t>
    </rPh>
    <rPh sb="1" eb="3">
      <t>カクニン</t>
    </rPh>
    <phoneticPr fontId="3"/>
  </si>
  <si>
    <t>委託車両洗車（ADバン）</t>
    <phoneticPr fontId="3"/>
  </si>
  <si>
    <t>委託車両洗車（セダン）</t>
    <phoneticPr fontId="3"/>
  </si>
  <si>
    <t>委託車両洗車（ボンゴトラック）</t>
    <phoneticPr fontId="3"/>
  </si>
  <si>
    <t>首都圏特販支社</t>
    <phoneticPr fontId="3"/>
  </si>
  <si>
    <t>フードスター</t>
    <phoneticPr fontId="3"/>
  </si>
  <si>
    <t>23区内巡回清掃及び点検業務</t>
    <phoneticPr fontId="3"/>
  </si>
  <si>
    <t>選択項目①（車種）</t>
    <rPh sb="0" eb="2">
      <t>センタク</t>
    </rPh>
    <rPh sb="2" eb="4">
      <t>コウモク</t>
    </rPh>
    <rPh sb="6" eb="8">
      <t>シャシュ</t>
    </rPh>
    <phoneticPr fontId="3"/>
  </si>
  <si>
    <t>選択項目①（ST/車種/車番）</t>
    <rPh sb="0" eb="2">
      <t>センタク</t>
    </rPh>
    <rPh sb="2" eb="4">
      <t>コウモク</t>
    </rPh>
    <rPh sb="9" eb="11">
      <t>シャシュ</t>
    </rPh>
    <rPh sb="12" eb="14">
      <t>シャバン</t>
    </rPh>
    <phoneticPr fontId="3"/>
  </si>
  <si>
    <t>南荻窪1丁目/マーチ/杉並500わ437</t>
    <phoneticPr fontId="3"/>
  </si>
  <si>
    <t>荻窪3丁目ST/ポルテ/相模501わ7735</t>
    <phoneticPr fontId="3"/>
  </si>
  <si>
    <t>各業務選択後に別シートの車両情報から選択必須</t>
    <rPh sb="12" eb="14">
      <t>シャリョウ</t>
    </rPh>
    <rPh sb="14" eb="16">
      <t>ジョウホウ</t>
    </rPh>
    <phoneticPr fontId="3"/>
  </si>
  <si>
    <t>出張型車両清掃・点検業務に係る研修実施費用および初期装備品一式</t>
    <phoneticPr fontId="3"/>
  </si>
  <si>
    <t>入力があった場合は備考欄を表示し、右記の情報を入力するよう表示→必須記載事項：①氏名</t>
    <rPh sb="0" eb="2">
      <t>ニュウリョク</t>
    </rPh>
    <rPh sb="6" eb="8">
      <t>バアイ</t>
    </rPh>
    <rPh sb="9" eb="11">
      <t>ビコウ</t>
    </rPh>
    <rPh sb="11" eb="12">
      <t>ラン</t>
    </rPh>
    <rPh sb="13" eb="15">
      <t>ヒョウジ</t>
    </rPh>
    <rPh sb="17" eb="19">
      <t>ウキ</t>
    </rPh>
    <rPh sb="20" eb="22">
      <t>ジョウホウ</t>
    </rPh>
    <rPh sb="23" eb="25">
      <t>ニュウリョク</t>
    </rPh>
    <rPh sb="29" eb="31">
      <t>ヒョウジ</t>
    </rPh>
    <rPh sb="32" eb="34">
      <t>ヒッス</t>
    </rPh>
    <rPh sb="34" eb="36">
      <t>キサイ</t>
    </rPh>
    <rPh sb="36" eb="38">
      <t>ジコウ</t>
    </rPh>
    <rPh sb="40" eb="42">
      <t>シメイ</t>
    </rPh>
    <phoneticPr fontId="3"/>
  </si>
  <si>
    <t>巡回清掃及び点検業務</t>
    <phoneticPr fontId="3"/>
  </si>
  <si>
    <t>タイヤワックス塗布</t>
    <phoneticPr fontId="3"/>
  </si>
  <si>
    <t>ルフォンプログレ田原町</t>
    <phoneticPr fontId="3"/>
  </si>
  <si>
    <t>S-LINKS北新宿</t>
    <phoneticPr fontId="3"/>
  </si>
  <si>
    <t>コーシャハイム神宮前五丁目</t>
    <phoneticPr fontId="3"/>
  </si>
  <si>
    <t>各業務選択後に別シートのステーション情報から選択必須</t>
    <rPh sb="7" eb="8">
      <t>ベツ</t>
    </rPh>
    <rPh sb="18" eb="20">
      <t>ジョウホウ</t>
    </rPh>
    <rPh sb="24" eb="26">
      <t>ヒッス</t>
    </rPh>
    <phoneticPr fontId="3"/>
  </si>
  <si>
    <t>回収済み忘れ物管理業務（事業者様送付）</t>
    <rPh sb="0" eb="2">
      <t>カイシュウ</t>
    </rPh>
    <rPh sb="2" eb="3">
      <t>ズ</t>
    </rPh>
    <rPh sb="4" eb="5">
      <t>ワス</t>
    </rPh>
    <rPh sb="6" eb="7">
      <t>モノ</t>
    </rPh>
    <rPh sb="7" eb="9">
      <t>カンリ</t>
    </rPh>
    <rPh sb="9" eb="11">
      <t>ギョウム</t>
    </rPh>
    <rPh sb="12" eb="15">
      <t>ジギョウシャ</t>
    </rPh>
    <rPh sb="15" eb="16">
      <t>サマ</t>
    </rPh>
    <rPh sb="16" eb="18">
      <t>ソウフ</t>
    </rPh>
    <phoneticPr fontId="3"/>
  </si>
  <si>
    <t>タイヤワックス塗布</t>
    <rPh sb="7" eb="9">
      <t>トフ</t>
    </rPh>
    <phoneticPr fontId="3"/>
  </si>
  <si>
    <t>コンパウンド処理（クレジットカードサイズ以上）</t>
    <rPh sb="6" eb="8">
      <t>ショリ</t>
    </rPh>
    <rPh sb="20" eb="22">
      <t>イジョウ</t>
    </rPh>
    <phoneticPr fontId="6"/>
  </si>
  <si>
    <t>コンパウンド処理（クレジットカードサイズ以下）</t>
    <rPh sb="6" eb="8">
      <t>ショリ</t>
    </rPh>
    <rPh sb="20" eb="22">
      <t>イカ</t>
    </rPh>
    <phoneticPr fontId="6"/>
  </si>
  <si>
    <t>水垢除去（車両両サイド実施）</t>
    <rPh sb="0" eb="2">
      <t>ミズアカ</t>
    </rPh>
    <rPh sb="2" eb="4">
      <t>ジョキョ</t>
    </rPh>
    <rPh sb="5" eb="7">
      <t>シャリョウ</t>
    </rPh>
    <rPh sb="7" eb="8">
      <t>リョウ</t>
    </rPh>
    <rPh sb="11" eb="13">
      <t>ジッシ</t>
    </rPh>
    <phoneticPr fontId="6"/>
  </si>
  <si>
    <t>水垢除去（ナンバープレート）</t>
    <rPh sb="0" eb="2">
      <t>ミズアカ</t>
    </rPh>
    <rPh sb="2" eb="4">
      <t>ジョキョ</t>
    </rPh>
    <phoneticPr fontId="6"/>
  </si>
  <si>
    <t>緊急対応業務（24時間以内対応/別シート参照）</t>
    <rPh sb="0" eb="2">
      <t>キンキュウ</t>
    </rPh>
    <rPh sb="2" eb="4">
      <t>タイオウ</t>
    </rPh>
    <rPh sb="4" eb="6">
      <t>ギョウム</t>
    </rPh>
    <rPh sb="9" eb="11">
      <t>ジカン</t>
    </rPh>
    <rPh sb="11" eb="13">
      <t>イナイ</t>
    </rPh>
    <rPh sb="13" eb="15">
      <t>タイオウ</t>
    </rPh>
    <rPh sb="16" eb="17">
      <t>ベツ</t>
    </rPh>
    <rPh sb="20" eb="22">
      <t>サンショウ</t>
    </rPh>
    <phoneticPr fontId="6"/>
  </si>
  <si>
    <t>緊急対応業務（48時間以内対応/別シート参照）</t>
    <rPh sb="0" eb="2">
      <t>キンキュウ</t>
    </rPh>
    <rPh sb="2" eb="4">
      <t>タイオウ</t>
    </rPh>
    <rPh sb="4" eb="6">
      <t>ギョウム</t>
    </rPh>
    <rPh sb="9" eb="11">
      <t>ジカン</t>
    </rPh>
    <rPh sb="11" eb="13">
      <t>イナイ</t>
    </rPh>
    <rPh sb="13" eb="15">
      <t>タイオウ</t>
    </rPh>
    <rPh sb="16" eb="17">
      <t>ベツ</t>
    </rPh>
    <rPh sb="20" eb="22">
      <t>サンショウ</t>
    </rPh>
    <rPh sb="21" eb="22">
      <t>ショウ</t>
    </rPh>
    <phoneticPr fontId="6"/>
  </si>
  <si>
    <t>緊急対応業務（72時間以内対応/別シート参照）</t>
    <rPh sb="0" eb="2">
      <t>キンキュウ</t>
    </rPh>
    <rPh sb="2" eb="4">
      <t>タイオウ</t>
    </rPh>
    <rPh sb="4" eb="6">
      <t>ギョウム</t>
    </rPh>
    <rPh sb="9" eb="11">
      <t>ジカン</t>
    </rPh>
    <rPh sb="11" eb="13">
      <t>イナイ</t>
    </rPh>
    <rPh sb="13" eb="15">
      <t>タイオウ</t>
    </rPh>
    <rPh sb="16" eb="17">
      <t>ベツ</t>
    </rPh>
    <rPh sb="20" eb="22">
      <t>サンショウ</t>
    </rPh>
    <phoneticPr fontId="6"/>
  </si>
  <si>
    <t>バッテリー充電走行（10km)</t>
    <rPh sb="5" eb="7">
      <t>ジュウデン</t>
    </rPh>
    <rPh sb="7" eb="9">
      <t>ソウコウ</t>
    </rPh>
    <phoneticPr fontId="3"/>
  </si>
  <si>
    <t>車内消臭業務</t>
    <rPh sb="0" eb="2">
      <t>シャナイ</t>
    </rPh>
    <rPh sb="2" eb="4">
      <t>ショウシュウ</t>
    </rPh>
    <rPh sb="4" eb="6">
      <t>ギョウム</t>
    </rPh>
    <phoneticPr fontId="3"/>
  </si>
  <si>
    <t>パンク対応業務</t>
    <rPh sb="3" eb="5">
      <t>タイオウ</t>
    </rPh>
    <rPh sb="5" eb="7">
      <t>ギョウム</t>
    </rPh>
    <phoneticPr fontId="3"/>
  </si>
  <si>
    <t>新規ステーション開設業務</t>
    <rPh sb="0" eb="2">
      <t>シンキ</t>
    </rPh>
    <rPh sb="8" eb="10">
      <t>カイセツ</t>
    </rPh>
    <rPh sb="10" eb="12">
      <t>ギョウム</t>
    </rPh>
    <phoneticPr fontId="3"/>
  </si>
  <si>
    <t>閉鎖ステーション撤去業務</t>
    <rPh sb="0" eb="2">
      <t>ヘイサ</t>
    </rPh>
    <rPh sb="8" eb="10">
      <t>テッキョ</t>
    </rPh>
    <rPh sb="10" eb="12">
      <t>ギョウム</t>
    </rPh>
    <phoneticPr fontId="3"/>
  </si>
  <si>
    <t>車両商品化業務</t>
    <rPh sb="0" eb="2">
      <t>シャリョウ</t>
    </rPh>
    <rPh sb="2" eb="5">
      <t>ショウヒンカ</t>
    </rPh>
    <rPh sb="5" eb="7">
      <t>ギョウム</t>
    </rPh>
    <phoneticPr fontId="3"/>
  </si>
  <si>
    <t>車両回送業務</t>
    <rPh sb="0" eb="2">
      <t>シャリョウ</t>
    </rPh>
    <rPh sb="2" eb="4">
      <t>カイソウ</t>
    </rPh>
    <rPh sb="4" eb="6">
      <t>ギョウム</t>
    </rPh>
    <phoneticPr fontId="3"/>
  </si>
  <si>
    <t>巡回清掃及び点検業務/MOCEAN</t>
    <phoneticPr fontId="3"/>
  </si>
  <si>
    <t>空気圧充填業務（コンプレッサー使用）</t>
    <phoneticPr fontId="3"/>
  </si>
  <si>
    <t>入力があった場合は備考欄を表示し、右記の情報を入力するよう表示→必須記載事項：①車番（地域ナンバーから正確に入力）</t>
    <rPh sb="0" eb="2">
      <t>ニュウリョク</t>
    </rPh>
    <rPh sb="6" eb="8">
      <t>バアイ</t>
    </rPh>
    <rPh sb="9" eb="11">
      <t>ビコウ</t>
    </rPh>
    <rPh sb="11" eb="12">
      <t>ラン</t>
    </rPh>
    <rPh sb="13" eb="15">
      <t>ヒョウジ</t>
    </rPh>
    <rPh sb="17" eb="19">
      <t>ウキ</t>
    </rPh>
    <rPh sb="20" eb="22">
      <t>ジョウホウ</t>
    </rPh>
    <rPh sb="23" eb="25">
      <t>ニュウリョク</t>
    </rPh>
    <rPh sb="29" eb="31">
      <t>ヒョウジ</t>
    </rPh>
    <rPh sb="32" eb="34">
      <t>ヒッス</t>
    </rPh>
    <rPh sb="34" eb="36">
      <t>キサイ</t>
    </rPh>
    <rPh sb="36" eb="38">
      <t>ジコウ</t>
    </rPh>
    <rPh sb="40" eb="42">
      <t>シャバン</t>
    </rPh>
    <rPh sb="43" eb="45">
      <t>チイキ</t>
    </rPh>
    <rPh sb="51" eb="53">
      <t>セイカク</t>
    </rPh>
    <rPh sb="54" eb="56">
      <t>ニュウリョク</t>
    </rPh>
    <phoneticPr fontId="3"/>
  </si>
  <si>
    <t>車内残置物回収及び発送業務</t>
    <phoneticPr fontId="3"/>
  </si>
  <si>
    <t>入力があった場合は備考欄を表示し、右記の情報を入力するよう表示→必須記載事項：①車番（地域ナンバーから正確に入力）②発送物</t>
    <rPh sb="0" eb="2">
      <t>ニュウリョク</t>
    </rPh>
    <rPh sb="6" eb="8">
      <t>バアイ</t>
    </rPh>
    <rPh sb="9" eb="11">
      <t>ビコウ</t>
    </rPh>
    <rPh sb="11" eb="12">
      <t>ラン</t>
    </rPh>
    <rPh sb="13" eb="15">
      <t>ヒョウジ</t>
    </rPh>
    <rPh sb="17" eb="19">
      <t>ウキ</t>
    </rPh>
    <rPh sb="20" eb="22">
      <t>ジョウホウ</t>
    </rPh>
    <rPh sb="23" eb="25">
      <t>ニュウリョク</t>
    </rPh>
    <rPh sb="29" eb="31">
      <t>ヒョウジ</t>
    </rPh>
    <rPh sb="32" eb="34">
      <t>ヒッス</t>
    </rPh>
    <rPh sb="34" eb="36">
      <t>キサイ</t>
    </rPh>
    <rPh sb="36" eb="38">
      <t>ジコウ</t>
    </rPh>
    <rPh sb="40" eb="42">
      <t>シャバン</t>
    </rPh>
    <rPh sb="43" eb="45">
      <t>チイキ</t>
    </rPh>
    <rPh sb="51" eb="53">
      <t>セイカク</t>
    </rPh>
    <rPh sb="54" eb="56">
      <t>ニュウリョク</t>
    </rPh>
    <rPh sb="58" eb="60">
      <t>ハッソウ</t>
    </rPh>
    <rPh sb="60" eb="61">
      <t>ブツ</t>
    </rPh>
    <phoneticPr fontId="3"/>
  </si>
  <si>
    <t>定期巡回業務（フル）</t>
    <rPh sb="0" eb="2">
      <t>テイキ</t>
    </rPh>
    <rPh sb="2" eb="4">
      <t>ジュンカイ</t>
    </rPh>
    <rPh sb="4" eb="6">
      <t>ギョウム</t>
    </rPh>
    <phoneticPr fontId="3"/>
  </si>
  <si>
    <t>定期巡回業務（基本）</t>
    <rPh sb="0" eb="2">
      <t>テイキ</t>
    </rPh>
    <rPh sb="2" eb="4">
      <t>ジュンカイ</t>
    </rPh>
    <rPh sb="4" eb="6">
      <t>ギョウム</t>
    </rPh>
    <rPh sb="7" eb="9">
      <t>キホン</t>
    </rPh>
    <phoneticPr fontId="3"/>
  </si>
  <si>
    <t>定期巡回業務（フル/機械式）</t>
    <rPh sb="0" eb="2">
      <t>テイキ</t>
    </rPh>
    <rPh sb="2" eb="4">
      <t>ジュンカイ</t>
    </rPh>
    <rPh sb="4" eb="6">
      <t>ギョウム</t>
    </rPh>
    <rPh sb="10" eb="13">
      <t>キカイシキ</t>
    </rPh>
    <phoneticPr fontId="3"/>
  </si>
  <si>
    <t>定期巡回業務（基本/機械式）</t>
    <rPh sb="0" eb="2">
      <t>テイキ</t>
    </rPh>
    <rPh sb="2" eb="4">
      <t>ジュンカイ</t>
    </rPh>
    <rPh sb="4" eb="6">
      <t>ギョウム</t>
    </rPh>
    <rPh sb="7" eb="9">
      <t>キホン</t>
    </rPh>
    <rPh sb="10" eb="13">
      <t>キカイシキ</t>
    </rPh>
    <phoneticPr fontId="3"/>
  </si>
  <si>
    <t>遠方追加費用（下田地区）</t>
    <phoneticPr fontId="3"/>
  </si>
  <si>
    <t>定期巡回業務</t>
    <rPh sb="0" eb="2">
      <t>テイキ</t>
    </rPh>
    <rPh sb="2" eb="4">
      <t>ジュンカイ</t>
    </rPh>
    <rPh sb="4" eb="6">
      <t>ギョウム</t>
    </rPh>
    <phoneticPr fontId="3"/>
  </si>
  <si>
    <t>宝自動車交通</t>
    <rPh sb="0" eb="1">
      <t>タカラ</t>
    </rPh>
    <rPh sb="1" eb="4">
      <t>ジドウシャ</t>
    </rPh>
    <rPh sb="4" eb="6">
      <t>コウツウ</t>
    </rPh>
    <phoneticPr fontId="9"/>
  </si>
  <si>
    <t>明治交通入谷</t>
    <rPh sb="0" eb="4">
      <t>メイジコウツウ</t>
    </rPh>
    <rPh sb="4" eb="5">
      <t>イ</t>
    </rPh>
    <rPh sb="5" eb="6">
      <t>タニ</t>
    </rPh>
    <phoneticPr fontId="9"/>
  </si>
  <si>
    <t>明治交通本社</t>
    <rPh sb="0" eb="4">
      <t>メイジコウツウ</t>
    </rPh>
    <rPh sb="4" eb="6">
      <t>ホンシャ</t>
    </rPh>
    <phoneticPr fontId="9"/>
  </si>
  <si>
    <t>ワールド交通</t>
    <rPh sb="4" eb="6">
      <t>コウツウ</t>
    </rPh>
    <phoneticPr fontId="9"/>
  </si>
  <si>
    <r>
      <t>単価（税別）</t>
    </r>
    <r>
      <rPr>
        <sz val="11"/>
        <color rgb="FFFF0000"/>
        <rFont val="Meiryo UI"/>
        <family val="3"/>
        <charset val="128"/>
      </rPr>
      <t>（入力者へは非表示）</t>
    </r>
    <rPh sb="0" eb="2">
      <t>タンカ</t>
    </rPh>
    <rPh sb="3" eb="5">
      <t>ゼイベツ</t>
    </rPh>
    <rPh sb="7" eb="9">
      <t>ニュウリョク</t>
    </rPh>
    <rPh sb="9" eb="10">
      <t>シャ</t>
    </rPh>
    <rPh sb="12" eb="15">
      <t>ヒヒョウジ</t>
    </rPh>
    <phoneticPr fontId="3"/>
  </si>
  <si>
    <r>
      <t>単価（税込）</t>
    </r>
    <r>
      <rPr>
        <sz val="11"/>
        <color rgb="FFFF0000"/>
        <rFont val="Meiryo UI"/>
        <family val="3"/>
        <charset val="128"/>
      </rPr>
      <t>（入力者へは非表示）</t>
    </r>
    <rPh sb="0" eb="2">
      <t>タンカ</t>
    </rPh>
    <rPh sb="3" eb="5">
      <t>ゼイコ</t>
    </rPh>
    <rPh sb="7" eb="9">
      <t>ニュウリョク</t>
    </rPh>
    <rPh sb="9" eb="10">
      <t>シャ</t>
    </rPh>
    <rPh sb="12" eb="15">
      <t>ヒヒョウジ</t>
    </rPh>
    <phoneticPr fontId="3"/>
  </si>
  <si>
    <t>選択項目①（ナンバー）</t>
    <rPh sb="0" eb="2">
      <t>センタク</t>
    </rPh>
    <rPh sb="2" eb="4">
      <t>コウモク</t>
    </rPh>
    <phoneticPr fontId="3"/>
  </si>
  <si>
    <t>70-01</t>
    <phoneticPr fontId="3"/>
  </si>
  <si>
    <t>70-02</t>
    <phoneticPr fontId="3"/>
  </si>
  <si>
    <t>70-03</t>
    <phoneticPr fontId="3"/>
  </si>
  <si>
    <t>70-04</t>
  </si>
  <si>
    <t>70-05</t>
  </si>
  <si>
    <t>70-06</t>
  </si>
  <si>
    <t>70-07</t>
  </si>
  <si>
    <t>70-08</t>
  </si>
  <si>
    <t>70-09</t>
  </si>
  <si>
    <t>70-10</t>
  </si>
  <si>
    <t>70-11</t>
  </si>
  <si>
    <t>70-12</t>
  </si>
  <si>
    <t>70-13</t>
  </si>
  <si>
    <t>70-14</t>
  </si>
  <si>
    <t>70-15</t>
  </si>
  <si>
    <t>70-16</t>
  </si>
  <si>
    <t>70-17</t>
  </si>
  <si>
    <t>70-18</t>
  </si>
  <si>
    <t>70-19</t>
  </si>
  <si>
    <t>70-20</t>
  </si>
  <si>
    <t>70-21</t>
  </si>
  <si>
    <t>70-22</t>
  </si>
  <si>
    <t>70-23</t>
  </si>
  <si>
    <t>70-24</t>
  </si>
  <si>
    <t>飛鳥交通</t>
    <rPh sb="0" eb="2">
      <t>アスカ</t>
    </rPh>
    <rPh sb="2" eb="4">
      <t>コウツウ</t>
    </rPh>
    <phoneticPr fontId="9"/>
  </si>
  <si>
    <t>品川</t>
    <rPh sb="0" eb="2">
      <t>シナガワ</t>
    </rPh>
    <phoneticPr fontId="3"/>
  </si>
  <si>
    <t>高井戸</t>
    <rPh sb="0" eb="3">
      <t>タカイド</t>
    </rPh>
    <phoneticPr fontId="3"/>
  </si>
  <si>
    <t>宮崎台</t>
    <rPh sb="0" eb="3">
      <t>ミヤザキダイ</t>
    </rPh>
    <phoneticPr fontId="3"/>
  </si>
  <si>
    <t>小松川</t>
    <rPh sb="0" eb="3">
      <t>コマツガワ</t>
    </rPh>
    <phoneticPr fontId="3"/>
  </si>
  <si>
    <t>車内外清掃業務</t>
    <rPh sb="0" eb="2">
      <t>シャナイ</t>
    </rPh>
    <rPh sb="2" eb="3">
      <t>ガイ</t>
    </rPh>
    <rPh sb="3" eb="5">
      <t>セイソウ</t>
    </rPh>
    <rPh sb="5" eb="7">
      <t>ギョウム</t>
    </rPh>
    <phoneticPr fontId="3"/>
  </si>
  <si>
    <t>エスコート交通</t>
    <rPh sb="5" eb="7">
      <t>コウツウ</t>
    </rPh>
    <phoneticPr fontId="9"/>
  </si>
  <si>
    <t>車内外清掃業務（セダン/JPN）</t>
    <rPh sb="0" eb="2">
      <t>シャナイ</t>
    </rPh>
    <rPh sb="2" eb="3">
      <t>ガイ</t>
    </rPh>
    <rPh sb="3" eb="5">
      <t>セイソウ</t>
    </rPh>
    <rPh sb="5" eb="7">
      <t>ギョウム</t>
    </rPh>
    <phoneticPr fontId="3"/>
  </si>
  <si>
    <t>車内外清掃業務（ワゴン）</t>
    <rPh sb="0" eb="2">
      <t>シャナイ</t>
    </rPh>
    <rPh sb="2" eb="3">
      <t>ガイ</t>
    </rPh>
    <rPh sb="3" eb="5">
      <t>セイソウ</t>
    </rPh>
    <rPh sb="5" eb="7">
      <t>ギョウム</t>
    </rPh>
    <phoneticPr fontId="3"/>
  </si>
  <si>
    <t>オプション（シート交換）</t>
    <rPh sb="9" eb="11">
      <t>コウカン</t>
    </rPh>
    <phoneticPr fontId="3"/>
  </si>
  <si>
    <t>オプション（除菌）</t>
    <rPh sb="6" eb="8">
      <t>ジョキン</t>
    </rPh>
    <phoneticPr fontId="3"/>
  </si>
  <si>
    <t>オプション（タイヤワックス）</t>
    <phoneticPr fontId="3"/>
  </si>
  <si>
    <t>オプション（ボディワックス）</t>
    <phoneticPr fontId="3"/>
  </si>
  <si>
    <t>オプション（親水）</t>
    <rPh sb="6" eb="8">
      <t>シンスイ</t>
    </rPh>
    <phoneticPr fontId="3"/>
  </si>
  <si>
    <t>オプション（窓撥水）</t>
    <rPh sb="6" eb="7">
      <t>マド</t>
    </rPh>
    <rPh sb="7" eb="9">
      <t>ハッスイ</t>
    </rPh>
    <phoneticPr fontId="3"/>
  </si>
  <si>
    <t>車内清掃のみ（JPN）</t>
    <rPh sb="0" eb="2">
      <t>シャナイ</t>
    </rPh>
    <rPh sb="2" eb="4">
      <t>セイソウ</t>
    </rPh>
    <phoneticPr fontId="3"/>
  </si>
  <si>
    <t>車内外清掃業務（JPN/セダン）</t>
    <rPh sb="0" eb="2">
      <t>シャナイ</t>
    </rPh>
    <rPh sb="2" eb="3">
      <t>ガイ</t>
    </rPh>
    <rPh sb="3" eb="5">
      <t>セイソウ</t>
    </rPh>
    <rPh sb="5" eb="7">
      <t>ギョウム</t>
    </rPh>
    <phoneticPr fontId="3"/>
  </si>
  <si>
    <t>車内外清掃業務（アルファード）</t>
    <rPh sb="0" eb="2">
      <t>シャナイ</t>
    </rPh>
    <rPh sb="2" eb="3">
      <t>ガイ</t>
    </rPh>
    <rPh sb="3" eb="5">
      <t>セイソウ</t>
    </rPh>
    <rPh sb="5" eb="7">
      <t>ギョウム</t>
    </rPh>
    <phoneticPr fontId="3"/>
  </si>
  <si>
    <t>車内外清掃業務（水素クラウン）</t>
    <rPh sb="0" eb="2">
      <t>シャナイ</t>
    </rPh>
    <rPh sb="2" eb="3">
      <t>ガイ</t>
    </rPh>
    <rPh sb="3" eb="5">
      <t>セイソウ</t>
    </rPh>
    <rPh sb="5" eb="7">
      <t>ギョウム</t>
    </rPh>
    <rPh sb="8" eb="10">
      <t>スイソ</t>
    </rPh>
    <phoneticPr fontId="3"/>
  </si>
  <si>
    <t>車内外清掃業務（ハイヤー）</t>
    <rPh sb="0" eb="2">
      <t>シャナイ</t>
    </rPh>
    <rPh sb="2" eb="3">
      <t>ガイ</t>
    </rPh>
    <rPh sb="3" eb="5">
      <t>セイソウ</t>
    </rPh>
    <rPh sb="5" eb="7">
      <t>ギョウム</t>
    </rPh>
    <phoneticPr fontId="3"/>
  </si>
  <si>
    <t>車内外清掃業務（社用車）</t>
    <rPh sb="0" eb="2">
      <t>シャナイ</t>
    </rPh>
    <rPh sb="2" eb="3">
      <t>ガイ</t>
    </rPh>
    <rPh sb="3" eb="5">
      <t>セイソウ</t>
    </rPh>
    <rPh sb="5" eb="7">
      <t>ギョウム</t>
    </rPh>
    <rPh sb="8" eb="10">
      <t>シャヨウ</t>
    </rPh>
    <rPh sb="10" eb="11">
      <t>シャ</t>
    </rPh>
    <phoneticPr fontId="3"/>
  </si>
  <si>
    <t>オプション（嘔吐処理）</t>
    <rPh sb="6" eb="8">
      <t>オウト</t>
    </rPh>
    <rPh sb="8" eb="10">
      <t>ショリ</t>
    </rPh>
    <phoneticPr fontId="3"/>
  </si>
  <si>
    <r>
      <t>業務内容</t>
    </r>
    <r>
      <rPr>
        <sz val="11"/>
        <color rgb="FFFF0000"/>
        <rFont val="Meiryo UI"/>
        <family val="3"/>
        <charset val="128"/>
      </rPr>
      <t>（選択式/同じ画面にメニューと台数入力箇所を表示）</t>
    </r>
    <rPh sb="0" eb="2">
      <t>ギョウム</t>
    </rPh>
    <rPh sb="2" eb="4">
      <t>ナイヨウ</t>
    </rPh>
    <rPh sb="9" eb="10">
      <t>オナ</t>
    </rPh>
    <rPh sb="11" eb="13">
      <t>ガメン</t>
    </rPh>
    <rPh sb="19" eb="21">
      <t>ダイスウ</t>
    </rPh>
    <rPh sb="21" eb="23">
      <t>ニュウリョク</t>
    </rPh>
    <rPh sb="23" eb="25">
      <t>カショ</t>
    </rPh>
    <rPh sb="26" eb="28">
      <t>ヒョウジ</t>
    </rPh>
    <phoneticPr fontId="3"/>
  </si>
  <si>
    <t>選択後に別シートのナンバーを車両欄から選択必須</t>
    <rPh sb="0" eb="2">
      <t>センタク</t>
    </rPh>
    <rPh sb="2" eb="3">
      <t>ゴ</t>
    </rPh>
    <rPh sb="4" eb="5">
      <t>ベツ</t>
    </rPh>
    <rPh sb="14" eb="16">
      <t>シャリョウ</t>
    </rPh>
    <rPh sb="16" eb="17">
      <t>ラン</t>
    </rPh>
    <rPh sb="19" eb="21">
      <t>センタク</t>
    </rPh>
    <rPh sb="21" eb="23">
      <t>ヒッス</t>
    </rPh>
    <phoneticPr fontId="3"/>
  </si>
  <si>
    <t>車内外清掃業務（隔勤）</t>
    <rPh sb="0" eb="2">
      <t>シャナイ</t>
    </rPh>
    <rPh sb="2" eb="3">
      <t>ガイ</t>
    </rPh>
    <rPh sb="3" eb="5">
      <t>セイソウ</t>
    </rPh>
    <rPh sb="5" eb="7">
      <t>ギョウム</t>
    </rPh>
    <rPh sb="8" eb="9">
      <t>カク</t>
    </rPh>
    <rPh sb="9" eb="10">
      <t>ツトム</t>
    </rPh>
    <phoneticPr fontId="3"/>
  </si>
  <si>
    <t>車内外清掃業務（昼日勤/夜日勤）</t>
    <rPh sb="0" eb="2">
      <t>シャナイ</t>
    </rPh>
    <rPh sb="2" eb="3">
      <t>ガイ</t>
    </rPh>
    <rPh sb="3" eb="5">
      <t>セイソウ</t>
    </rPh>
    <rPh sb="5" eb="7">
      <t>ギョウム</t>
    </rPh>
    <rPh sb="8" eb="9">
      <t>ヒル</t>
    </rPh>
    <rPh sb="9" eb="11">
      <t>ニッキン</t>
    </rPh>
    <rPh sb="12" eb="13">
      <t>ヨル</t>
    </rPh>
    <rPh sb="13" eb="15">
      <t>ニッキン</t>
    </rPh>
    <phoneticPr fontId="3"/>
  </si>
  <si>
    <t>オプション（シート）</t>
    <phoneticPr fontId="3"/>
  </si>
  <si>
    <t>車内外清掃業務（自家用車）</t>
    <rPh sb="0" eb="2">
      <t>シャナイ</t>
    </rPh>
    <rPh sb="2" eb="3">
      <t>ガイ</t>
    </rPh>
    <rPh sb="3" eb="5">
      <t>セイソウ</t>
    </rPh>
    <rPh sb="5" eb="7">
      <t>ギョウム</t>
    </rPh>
    <rPh sb="8" eb="12">
      <t>ジカヨウシャ</t>
    </rPh>
    <phoneticPr fontId="3"/>
  </si>
  <si>
    <t>新星自動車</t>
    <rPh sb="0" eb="2">
      <t>シンセイ</t>
    </rPh>
    <rPh sb="2" eb="5">
      <t>ジドウシャ</t>
    </rPh>
    <phoneticPr fontId="9"/>
  </si>
  <si>
    <t>入力があった場合は備考欄を表示し、右記の情報を入力するよう表示→必須記載事項：①車種+号車（例：JPN6734）</t>
    <rPh sb="0" eb="2">
      <t>ニュウリョク</t>
    </rPh>
    <rPh sb="6" eb="8">
      <t>バアイ</t>
    </rPh>
    <rPh sb="9" eb="11">
      <t>ビコウ</t>
    </rPh>
    <rPh sb="11" eb="12">
      <t>ラン</t>
    </rPh>
    <rPh sb="13" eb="15">
      <t>ヒョウジ</t>
    </rPh>
    <rPh sb="17" eb="19">
      <t>ウキ</t>
    </rPh>
    <rPh sb="20" eb="22">
      <t>ジョウホウ</t>
    </rPh>
    <rPh sb="23" eb="25">
      <t>ニュウリョク</t>
    </rPh>
    <rPh sb="29" eb="31">
      <t>ヒョウジ</t>
    </rPh>
    <rPh sb="32" eb="34">
      <t>ヒッス</t>
    </rPh>
    <rPh sb="34" eb="36">
      <t>キサイ</t>
    </rPh>
    <rPh sb="36" eb="38">
      <t>ジコウ</t>
    </rPh>
    <rPh sb="40" eb="42">
      <t>シャシュ</t>
    </rPh>
    <rPh sb="43" eb="45">
      <t>ゴウシャ</t>
    </rPh>
    <rPh sb="46" eb="47">
      <t>レイ</t>
    </rPh>
    <phoneticPr fontId="3"/>
  </si>
  <si>
    <t>車内外清掃業務（全車種）</t>
    <rPh sb="0" eb="2">
      <t>シャナイ</t>
    </rPh>
    <rPh sb="2" eb="3">
      <t>ガイ</t>
    </rPh>
    <rPh sb="3" eb="5">
      <t>セイソウ</t>
    </rPh>
    <rPh sb="5" eb="7">
      <t>ギョウム</t>
    </rPh>
    <rPh sb="8" eb="11">
      <t>ゼンシャシュ</t>
    </rPh>
    <phoneticPr fontId="3"/>
  </si>
  <si>
    <t>車内外清掃業務（社用車・会社請求）</t>
    <rPh sb="0" eb="2">
      <t>シャナイ</t>
    </rPh>
    <rPh sb="2" eb="3">
      <t>ガイ</t>
    </rPh>
    <rPh sb="3" eb="5">
      <t>セイソウ</t>
    </rPh>
    <rPh sb="5" eb="7">
      <t>ギョウム</t>
    </rPh>
    <rPh sb="8" eb="10">
      <t>シャヨウ</t>
    </rPh>
    <rPh sb="10" eb="11">
      <t>シャ</t>
    </rPh>
    <rPh sb="12" eb="14">
      <t>カイシャ</t>
    </rPh>
    <rPh sb="14" eb="16">
      <t>セイキュウ</t>
    </rPh>
    <phoneticPr fontId="3"/>
  </si>
  <si>
    <t>車内外清掃業務（グランエース）</t>
    <rPh sb="0" eb="2">
      <t>シャナイ</t>
    </rPh>
    <rPh sb="2" eb="3">
      <t>ガイ</t>
    </rPh>
    <rPh sb="3" eb="5">
      <t>セイソウ</t>
    </rPh>
    <rPh sb="5" eb="7">
      <t>ギョウム</t>
    </rPh>
    <phoneticPr fontId="3"/>
  </si>
  <si>
    <t>入力があった場合は備考欄を表示し、右記の情報を入力するよう表示→必須記載事項：①車種+号車（例：JPN6734号車）</t>
    <rPh sb="0" eb="2">
      <t>ニュウリョク</t>
    </rPh>
    <rPh sb="6" eb="8">
      <t>バアイ</t>
    </rPh>
    <rPh sb="9" eb="11">
      <t>ビコウ</t>
    </rPh>
    <rPh sb="11" eb="12">
      <t>ラン</t>
    </rPh>
    <rPh sb="13" eb="15">
      <t>ヒョウジ</t>
    </rPh>
    <rPh sb="17" eb="19">
      <t>ウキ</t>
    </rPh>
    <rPh sb="20" eb="22">
      <t>ジョウホウ</t>
    </rPh>
    <rPh sb="23" eb="25">
      <t>ニュウリョク</t>
    </rPh>
    <rPh sb="29" eb="31">
      <t>ヒョウジ</t>
    </rPh>
    <rPh sb="32" eb="34">
      <t>ヒッス</t>
    </rPh>
    <rPh sb="34" eb="36">
      <t>キサイ</t>
    </rPh>
    <rPh sb="36" eb="38">
      <t>ジコウ</t>
    </rPh>
    <rPh sb="40" eb="42">
      <t>シャシュ</t>
    </rPh>
    <rPh sb="43" eb="45">
      <t>ゴウシャ</t>
    </rPh>
    <rPh sb="46" eb="47">
      <t>レイ</t>
    </rPh>
    <rPh sb="55" eb="57">
      <t>ゴウシャ</t>
    </rPh>
    <phoneticPr fontId="3"/>
  </si>
  <si>
    <t>東京自動車</t>
    <rPh sb="1" eb="2">
      <t>ユウ</t>
    </rPh>
    <phoneticPr fontId="9"/>
  </si>
  <si>
    <t>えびす自動車</t>
    <phoneticPr fontId="9"/>
  </si>
  <si>
    <t>東京タクシーグループ</t>
    <rPh sb="0" eb="2">
      <t>トウキョウ</t>
    </rPh>
    <phoneticPr fontId="9"/>
  </si>
  <si>
    <t>東京タクシー城北</t>
  </si>
  <si>
    <t>KOKUSAI GROUP</t>
    <phoneticPr fontId="9"/>
  </si>
  <si>
    <t>国際交通</t>
    <rPh sb="0" eb="2">
      <t>コクサイ</t>
    </rPh>
    <rPh sb="2" eb="4">
      <t>コウツウ</t>
    </rPh>
    <phoneticPr fontId="3"/>
  </si>
  <si>
    <t>親切タクシー</t>
    <rPh sb="0" eb="2">
      <t>シンセツ</t>
    </rPh>
    <phoneticPr fontId="3"/>
  </si>
  <si>
    <t>新光タクシー</t>
    <rPh sb="0" eb="2">
      <t>シンコウ</t>
    </rPh>
    <phoneticPr fontId="3"/>
  </si>
  <si>
    <t>東京タクシー（世田谷）</t>
    <rPh sb="0" eb="2">
      <t>トウキョウ</t>
    </rPh>
    <rPh sb="7" eb="10">
      <t>セタガヤ</t>
    </rPh>
    <phoneticPr fontId="3"/>
  </si>
  <si>
    <t>東京タクシー（六木）</t>
    <rPh sb="0" eb="2">
      <t>トウキョウ</t>
    </rPh>
    <rPh sb="7" eb="8">
      <t>ムツ</t>
    </rPh>
    <rPh sb="8" eb="9">
      <t>ギ</t>
    </rPh>
    <phoneticPr fontId="3"/>
  </si>
  <si>
    <t>フル洗車（セダン/JPN）</t>
    <rPh sb="2" eb="4">
      <t>センシャ</t>
    </rPh>
    <phoneticPr fontId="3"/>
  </si>
  <si>
    <t>クイック洗車（セダン/JPN）</t>
    <rPh sb="4" eb="6">
      <t>センシャ</t>
    </rPh>
    <phoneticPr fontId="3"/>
  </si>
  <si>
    <t>車庫整理</t>
    <rPh sb="0" eb="2">
      <t>シャコ</t>
    </rPh>
    <rPh sb="2" eb="4">
      <t>セイリ</t>
    </rPh>
    <phoneticPr fontId="3"/>
  </si>
  <si>
    <t>入力単位は時間（例：3時間の場合は3、3時間半の場合は3.5）</t>
    <rPh sb="0" eb="2">
      <t>ニュウリョク</t>
    </rPh>
    <rPh sb="2" eb="4">
      <t>タンイ</t>
    </rPh>
    <rPh sb="5" eb="7">
      <t>ジカン</t>
    </rPh>
    <rPh sb="8" eb="9">
      <t>レイ</t>
    </rPh>
    <rPh sb="11" eb="13">
      <t>ジカン</t>
    </rPh>
    <rPh sb="14" eb="16">
      <t>バアイ</t>
    </rPh>
    <rPh sb="20" eb="23">
      <t>ジカンハン</t>
    </rPh>
    <rPh sb="24" eb="26">
      <t>バアイ</t>
    </rPh>
    <phoneticPr fontId="3"/>
  </si>
  <si>
    <t>フル洗車（社用車・会社請求）</t>
    <rPh sb="2" eb="4">
      <t>センシャ</t>
    </rPh>
    <phoneticPr fontId="3"/>
  </si>
  <si>
    <t>フル洗車（グランエース）</t>
    <rPh sb="2" eb="4">
      <t>センシャ</t>
    </rPh>
    <phoneticPr fontId="3"/>
  </si>
  <si>
    <t>クイック洗車（グランエース）</t>
    <rPh sb="4" eb="6">
      <t>センシャ</t>
    </rPh>
    <phoneticPr fontId="3"/>
  </si>
  <si>
    <t>オプション（オゾン脱臭）</t>
    <rPh sb="9" eb="11">
      <t>ダッシュウ</t>
    </rPh>
    <phoneticPr fontId="3"/>
  </si>
  <si>
    <t>事務所清掃</t>
    <rPh sb="0" eb="2">
      <t>ジム</t>
    </rPh>
    <rPh sb="2" eb="3">
      <t>ショ</t>
    </rPh>
    <rPh sb="3" eb="5">
      <t>セイソウ</t>
    </rPh>
    <phoneticPr fontId="3"/>
  </si>
  <si>
    <t>平和交通</t>
    <rPh sb="0" eb="2">
      <t>ヘイワ</t>
    </rPh>
    <rPh sb="2" eb="4">
      <t>コウツウ</t>
    </rPh>
    <phoneticPr fontId="3"/>
  </si>
  <si>
    <t>オプション（撥水）</t>
    <rPh sb="6" eb="8">
      <t>ハッスイ</t>
    </rPh>
    <phoneticPr fontId="3"/>
  </si>
  <si>
    <t>新横浜プリンスペペ営業所</t>
    <rPh sb="0" eb="3">
      <t>シンヨコハマ</t>
    </rPh>
    <rPh sb="9" eb="12">
      <t>エイギョウショ</t>
    </rPh>
    <phoneticPr fontId="3"/>
  </si>
  <si>
    <t>関内営業所</t>
    <rPh sb="0" eb="2">
      <t>カンナイ</t>
    </rPh>
    <rPh sb="2" eb="5">
      <t>エイギョウショ</t>
    </rPh>
    <phoneticPr fontId="9"/>
  </si>
  <si>
    <t>鶴見営業所</t>
    <rPh sb="0" eb="2">
      <t>ツルミ</t>
    </rPh>
    <rPh sb="2" eb="5">
      <t>エイギョウショ</t>
    </rPh>
    <phoneticPr fontId="3"/>
  </si>
  <si>
    <t>平和交通羽田</t>
    <rPh sb="0" eb="2">
      <t>ヘイワ</t>
    </rPh>
    <rPh sb="2" eb="4">
      <t>コウツウ</t>
    </rPh>
    <rPh sb="4" eb="6">
      <t>ハネダ</t>
    </rPh>
    <phoneticPr fontId="3"/>
  </si>
  <si>
    <t>保土ヶ谷営業所</t>
    <rPh sb="0" eb="4">
      <t>ホドガヤ</t>
    </rPh>
    <rPh sb="4" eb="7">
      <t>エイギョウショ</t>
    </rPh>
    <phoneticPr fontId="3"/>
  </si>
  <si>
    <t>間門営業所</t>
    <rPh sb="0" eb="2">
      <t>マカド</t>
    </rPh>
    <rPh sb="2" eb="5">
      <t>エイギョウショ</t>
    </rPh>
    <phoneticPr fontId="3"/>
  </si>
  <si>
    <t>和田町営業所</t>
    <rPh sb="0" eb="3">
      <t>ワダマチ</t>
    </rPh>
    <rPh sb="3" eb="6">
      <t>エイギョウショ</t>
    </rPh>
    <phoneticPr fontId="3"/>
  </si>
  <si>
    <t>新横浜営業所</t>
    <rPh sb="0" eb="3">
      <t>シンヨコハマ</t>
    </rPh>
    <rPh sb="3" eb="6">
      <t>エイギョウショ</t>
    </rPh>
    <phoneticPr fontId="3"/>
  </si>
  <si>
    <t>新子安営業所</t>
    <rPh sb="0" eb="3">
      <t>シンコヤス</t>
    </rPh>
    <rPh sb="3" eb="6">
      <t>エイギョウショ</t>
    </rPh>
    <phoneticPr fontId="3"/>
  </si>
  <si>
    <t>ラッキータクシー</t>
    <phoneticPr fontId="3"/>
  </si>
  <si>
    <t>明治交通</t>
    <rPh sb="0" eb="2">
      <t>メイジ</t>
    </rPh>
    <rPh sb="2" eb="4">
      <t>コウツウ</t>
    </rPh>
    <phoneticPr fontId="3"/>
  </si>
  <si>
    <t>↓税込価格がH列の数値になるように一部の税別単価については少数点以下まで入力しています。</t>
    <rPh sb="1" eb="3">
      <t>ゼイコミ</t>
    </rPh>
    <rPh sb="3" eb="5">
      <t>カカク</t>
    </rPh>
    <rPh sb="7" eb="8">
      <t>レツ</t>
    </rPh>
    <rPh sb="9" eb="11">
      <t>スウチ</t>
    </rPh>
    <rPh sb="17" eb="19">
      <t>イチブ</t>
    </rPh>
    <rPh sb="20" eb="22">
      <t>ゼイベツ</t>
    </rPh>
    <rPh sb="22" eb="24">
      <t>タンカ</t>
    </rPh>
    <rPh sb="29" eb="31">
      <t>ショウスウ</t>
    </rPh>
    <rPh sb="31" eb="32">
      <t>テン</t>
    </rPh>
    <rPh sb="32" eb="34">
      <t>イカ</t>
    </rPh>
    <rPh sb="36" eb="38">
      <t>ニュウリョク</t>
    </rPh>
    <phoneticPr fontId="3"/>
  </si>
  <si>
    <t>受託車両洗車・室内清掃（羽田空港（国内線）店）</t>
    <phoneticPr fontId="3"/>
  </si>
  <si>
    <t>受託車両車内清掃（成田空港店）</t>
    <rPh sb="0" eb="2">
      <t>ジュタク</t>
    </rPh>
    <rPh sb="2" eb="4">
      <t>シャリョウ</t>
    </rPh>
    <rPh sb="4" eb="6">
      <t>シャナイ</t>
    </rPh>
    <rPh sb="6" eb="8">
      <t>セイソウ</t>
    </rPh>
    <rPh sb="9" eb="11">
      <t>ナリタ</t>
    </rPh>
    <rPh sb="11" eb="13">
      <t>クウコウ</t>
    </rPh>
    <rPh sb="13" eb="14">
      <t>テン</t>
    </rPh>
    <phoneticPr fontId="5"/>
  </si>
  <si>
    <t>受託車両車内清掃 ワゴン車（成田空港店）</t>
    <rPh sb="0" eb="2">
      <t>ジュタク</t>
    </rPh>
    <rPh sb="2" eb="4">
      <t>シャリョウ</t>
    </rPh>
    <rPh sb="4" eb="6">
      <t>シャナイ</t>
    </rPh>
    <rPh sb="6" eb="8">
      <t>セイソウ</t>
    </rPh>
    <rPh sb="12" eb="13">
      <t>シャ</t>
    </rPh>
    <rPh sb="14" eb="16">
      <t>ナリタ</t>
    </rPh>
    <rPh sb="16" eb="18">
      <t>クウコウ</t>
    </rPh>
    <rPh sb="18" eb="19">
      <t>テン</t>
    </rPh>
    <phoneticPr fontId="5"/>
  </si>
  <si>
    <t>受託車両洗車・室内清掃（東京駅八重洲口店）</t>
    <rPh sb="0" eb="2">
      <t>ジュタク</t>
    </rPh>
    <rPh sb="2" eb="4">
      <t>シャリョウ</t>
    </rPh>
    <rPh sb="7" eb="9">
      <t>シツナイ</t>
    </rPh>
    <rPh sb="9" eb="11">
      <t>セイソウ</t>
    </rPh>
    <rPh sb="12" eb="19">
      <t>トウキョウエキヤエスグチ</t>
    </rPh>
    <rPh sb="19" eb="20">
      <t>テン</t>
    </rPh>
    <phoneticPr fontId="5"/>
  </si>
  <si>
    <t>受託車両洗車・室内清掃（上野駅前店）</t>
    <rPh sb="0" eb="2">
      <t>ジュタク</t>
    </rPh>
    <rPh sb="2" eb="4">
      <t>シャリョウ</t>
    </rPh>
    <rPh sb="7" eb="9">
      <t>シツナイ</t>
    </rPh>
    <rPh sb="9" eb="11">
      <t>セイソウ</t>
    </rPh>
    <rPh sb="12" eb="16">
      <t>ウエノエキマエ</t>
    </rPh>
    <rPh sb="16" eb="17">
      <t>テン</t>
    </rPh>
    <phoneticPr fontId="5"/>
  </si>
  <si>
    <t>受託車両洗車・室内清掃（中目黒山手通り店）</t>
    <rPh sb="0" eb="2">
      <t>ジュタク</t>
    </rPh>
    <rPh sb="2" eb="4">
      <t>シャリョウ</t>
    </rPh>
    <rPh sb="7" eb="9">
      <t>シツナイ</t>
    </rPh>
    <rPh sb="9" eb="11">
      <t>セイソウ</t>
    </rPh>
    <rPh sb="12" eb="15">
      <t>ナカメグロ</t>
    </rPh>
    <rPh sb="15" eb="17">
      <t>ヤマテ</t>
    </rPh>
    <rPh sb="17" eb="18">
      <t>ドオ</t>
    </rPh>
    <rPh sb="19" eb="20">
      <t>テン</t>
    </rPh>
    <phoneticPr fontId="5"/>
  </si>
  <si>
    <t>羽田空港（国内線）店</t>
    <phoneticPr fontId="3"/>
  </si>
  <si>
    <t>成田空港店</t>
    <phoneticPr fontId="3"/>
  </si>
  <si>
    <t>東京駅八重洲口店</t>
    <phoneticPr fontId="3"/>
  </si>
  <si>
    <t>上野駅前店</t>
    <phoneticPr fontId="3"/>
  </si>
  <si>
    <t>中目黒山手通り店</t>
    <phoneticPr fontId="3"/>
  </si>
  <si>
    <t>受託車両洗車・室内清掃（トヨタレンタカー京都駅新幹線口店）</t>
    <phoneticPr fontId="3"/>
  </si>
  <si>
    <t>京都駅新幹線口店</t>
    <phoneticPr fontId="3"/>
  </si>
  <si>
    <t>トヨタレンタリース新千葉</t>
    <phoneticPr fontId="3"/>
  </si>
  <si>
    <t>市川広小路店</t>
    <phoneticPr fontId="3"/>
  </si>
  <si>
    <t>トヨタレンタリース千葉</t>
    <phoneticPr fontId="3"/>
  </si>
  <si>
    <t>西船橋駅前店</t>
    <phoneticPr fontId="3"/>
  </si>
  <si>
    <t>海浜幕張駅北口店</t>
    <phoneticPr fontId="3"/>
  </si>
  <si>
    <t>車両清掃業務一式（トヨタレンタカー市川広小路店）</t>
    <phoneticPr fontId="3"/>
  </si>
  <si>
    <t>車両清掃業務一式（トヨタレンタカー海浜幕張駅北口店）</t>
    <phoneticPr fontId="3"/>
  </si>
  <si>
    <t>車両清掃業務一式（トヨタレンタカー西船橋駅前店）</t>
    <phoneticPr fontId="3"/>
  </si>
  <si>
    <t>新横浜駅前店</t>
    <rPh sb="0" eb="4">
      <t>シンヨコハマエキ</t>
    </rPh>
    <rPh sb="4" eb="5">
      <t>マエ</t>
    </rPh>
    <rPh sb="5" eb="6">
      <t>テン</t>
    </rPh>
    <phoneticPr fontId="1"/>
  </si>
  <si>
    <t>武蔵小杉駅前店</t>
    <rPh sb="0" eb="2">
      <t>ムサシ</t>
    </rPh>
    <rPh sb="2" eb="4">
      <t>コスギ</t>
    </rPh>
    <rPh sb="4" eb="6">
      <t>エキマエ</t>
    </rPh>
    <rPh sb="6" eb="7">
      <t>テン</t>
    </rPh>
    <phoneticPr fontId="1"/>
  </si>
  <si>
    <t>川崎店</t>
    <rPh sb="0" eb="2">
      <t>カワサキ</t>
    </rPh>
    <rPh sb="2" eb="3">
      <t>テン</t>
    </rPh>
    <phoneticPr fontId="1"/>
  </si>
  <si>
    <t>小田原駅新幹線口店</t>
    <rPh sb="0" eb="4">
      <t>オダワラエキ</t>
    </rPh>
    <rPh sb="4" eb="7">
      <t>シンカンセン</t>
    </rPh>
    <rPh sb="7" eb="8">
      <t>グチ</t>
    </rPh>
    <rPh sb="8" eb="9">
      <t>テン</t>
    </rPh>
    <phoneticPr fontId="1"/>
  </si>
  <si>
    <t>海老名駅前店</t>
    <rPh sb="0" eb="3">
      <t>エビナ</t>
    </rPh>
    <rPh sb="3" eb="4">
      <t>エキ</t>
    </rPh>
    <rPh sb="4" eb="5">
      <t>マエ</t>
    </rPh>
    <rPh sb="5" eb="6">
      <t>テン</t>
    </rPh>
    <phoneticPr fontId="1"/>
  </si>
  <si>
    <t>辻堂駅前店</t>
    <rPh sb="0" eb="3">
      <t>ツジドウエキ</t>
    </rPh>
    <rPh sb="3" eb="4">
      <t>マエ</t>
    </rPh>
    <rPh sb="4" eb="5">
      <t>テン</t>
    </rPh>
    <phoneticPr fontId="1"/>
  </si>
  <si>
    <t>川崎駅前西口店</t>
    <rPh sb="0" eb="3">
      <t>カワサキエキ</t>
    </rPh>
    <rPh sb="3" eb="4">
      <t>マエ</t>
    </rPh>
    <rPh sb="4" eb="6">
      <t>ニシグチ</t>
    </rPh>
    <rPh sb="6" eb="7">
      <t>テン</t>
    </rPh>
    <phoneticPr fontId="1"/>
  </si>
  <si>
    <t>横浜駅中央西口店</t>
    <rPh sb="0" eb="3">
      <t>ヨコハマエキ</t>
    </rPh>
    <rPh sb="3" eb="5">
      <t>チュウオウ</t>
    </rPh>
    <rPh sb="5" eb="7">
      <t>ニシグチ</t>
    </rPh>
    <rPh sb="7" eb="8">
      <t>テン</t>
    </rPh>
    <phoneticPr fontId="1"/>
  </si>
  <si>
    <t>たまプラーザ駅前店</t>
    <rPh sb="6" eb="7">
      <t>エキ</t>
    </rPh>
    <rPh sb="7" eb="8">
      <t>マエ</t>
    </rPh>
    <rPh sb="8" eb="9">
      <t>テン</t>
    </rPh>
    <phoneticPr fontId="1"/>
  </si>
  <si>
    <t>横浜みなとみらい店</t>
    <rPh sb="0" eb="2">
      <t>ヨコハマ</t>
    </rPh>
    <rPh sb="8" eb="9">
      <t>テン</t>
    </rPh>
    <phoneticPr fontId="1"/>
  </si>
  <si>
    <t>受託車両洗車・室内清掃（トヨタレンタカー新横浜駅前店）</t>
    <phoneticPr fontId="3"/>
  </si>
  <si>
    <t>受託車両洗車・室内清掃（トヨタレンタカー武蔵小杉駅前店）</t>
    <rPh sb="0" eb="2">
      <t>ジュタク</t>
    </rPh>
    <rPh sb="2" eb="4">
      <t>シャリョウ</t>
    </rPh>
    <rPh sb="7" eb="9">
      <t>シツナイ</t>
    </rPh>
    <rPh sb="9" eb="11">
      <t>セイソウ</t>
    </rPh>
    <rPh sb="20" eb="24">
      <t>ムサシコスギ</t>
    </rPh>
    <rPh sb="24" eb="25">
      <t>エキ</t>
    </rPh>
    <rPh sb="25" eb="26">
      <t>マエ</t>
    </rPh>
    <rPh sb="26" eb="27">
      <t>テン</t>
    </rPh>
    <phoneticPr fontId="9"/>
  </si>
  <si>
    <t>受託車両洗車・室内清掃（トヨタレンタカー川崎店）</t>
    <phoneticPr fontId="3"/>
  </si>
  <si>
    <t>受託車両洗車・室内清掃（トヨタレンタカー小田原駅新幹線口店）</t>
    <rPh sb="0" eb="2">
      <t>ジュタク</t>
    </rPh>
    <rPh sb="2" eb="4">
      <t>シャリョウ</t>
    </rPh>
    <rPh sb="7" eb="9">
      <t>シツナイ</t>
    </rPh>
    <rPh sb="9" eb="11">
      <t>セイソウ</t>
    </rPh>
    <rPh sb="20" eb="24">
      <t>オダワラエキ</t>
    </rPh>
    <rPh sb="24" eb="27">
      <t>シンカンセン</t>
    </rPh>
    <rPh sb="27" eb="28">
      <t>グチ</t>
    </rPh>
    <rPh sb="28" eb="29">
      <t>テン</t>
    </rPh>
    <phoneticPr fontId="9"/>
  </si>
  <si>
    <t>受託車両洗車・室内清掃（トヨタレンタカー海老名駅前店）</t>
    <rPh sb="0" eb="2">
      <t>ジュタク</t>
    </rPh>
    <rPh sb="2" eb="4">
      <t>シャリョウ</t>
    </rPh>
    <rPh sb="7" eb="9">
      <t>シツナイ</t>
    </rPh>
    <rPh sb="9" eb="11">
      <t>セイソウ</t>
    </rPh>
    <rPh sb="20" eb="23">
      <t>エビナ</t>
    </rPh>
    <rPh sb="23" eb="24">
      <t>エキ</t>
    </rPh>
    <rPh sb="24" eb="25">
      <t>マエ</t>
    </rPh>
    <rPh sb="25" eb="26">
      <t>テン</t>
    </rPh>
    <phoneticPr fontId="9"/>
  </si>
  <si>
    <t>受託車両洗車・室内清掃（トヨタレンタカー辻堂駅前店）</t>
    <rPh sb="0" eb="2">
      <t>ジュタク</t>
    </rPh>
    <rPh sb="2" eb="4">
      <t>シャリョウ</t>
    </rPh>
    <rPh sb="7" eb="9">
      <t>シツナイ</t>
    </rPh>
    <rPh sb="9" eb="11">
      <t>セイソウ</t>
    </rPh>
    <rPh sb="20" eb="22">
      <t>ツジドウ</t>
    </rPh>
    <rPh sb="22" eb="23">
      <t>エキ</t>
    </rPh>
    <rPh sb="23" eb="24">
      <t>マエ</t>
    </rPh>
    <rPh sb="24" eb="25">
      <t>テン</t>
    </rPh>
    <phoneticPr fontId="9"/>
  </si>
  <si>
    <t>受託車両洗車・室内清掃（トヨタレンタカー川崎駅前西口店）</t>
    <rPh sb="0" eb="2">
      <t>ジュタク</t>
    </rPh>
    <rPh sb="2" eb="4">
      <t>シャリョウ</t>
    </rPh>
    <rPh sb="7" eb="9">
      <t>シツナイ</t>
    </rPh>
    <rPh sb="9" eb="11">
      <t>セイソウ</t>
    </rPh>
    <rPh sb="20" eb="23">
      <t>カワサキエキ</t>
    </rPh>
    <rPh sb="23" eb="24">
      <t>マエ</t>
    </rPh>
    <rPh sb="24" eb="26">
      <t>ニシグチ</t>
    </rPh>
    <rPh sb="26" eb="27">
      <t>テン</t>
    </rPh>
    <phoneticPr fontId="9"/>
  </si>
  <si>
    <t>受託車両洗車・室内清掃（トヨタレンタカー横浜駅中央西口店）</t>
    <rPh sb="0" eb="2">
      <t>ジュタク</t>
    </rPh>
    <rPh sb="2" eb="4">
      <t>シャリョウ</t>
    </rPh>
    <rPh sb="7" eb="9">
      <t>シツナイ</t>
    </rPh>
    <rPh sb="9" eb="11">
      <t>セイソウ</t>
    </rPh>
    <rPh sb="20" eb="27">
      <t>ヨコハマエキチュウオウニシグチ</t>
    </rPh>
    <rPh sb="27" eb="28">
      <t>テン</t>
    </rPh>
    <phoneticPr fontId="9"/>
  </si>
  <si>
    <t>受託車両洗車・室内清掃（トヨタレンタカーたまプラーザ駅前店）</t>
    <rPh sb="0" eb="2">
      <t>ジュタク</t>
    </rPh>
    <rPh sb="2" eb="4">
      <t>シャリョウ</t>
    </rPh>
    <rPh sb="7" eb="9">
      <t>シツナイ</t>
    </rPh>
    <rPh sb="9" eb="11">
      <t>セイソウ</t>
    </rPh>
    <rPh sb="26" eb="28">
      <t>エキマエ</t>
    </rPh>
    <rPh sb="28" eb="29">
      <t>テン</t>
    </rPh>
    <phoneticPr fontId="9"/>
  </si>
  <si>
    <t>受託車両洗車・室内清掃（トヨタレンタカー横浜みなとみらい店）</t>
    <rPh sb="0" eb="2">
      <t>ジュタク</t>
    </rPh>
    <rPh sb="2" eb="4">
      <t>シャリョウ</t>
    </rPh>
    <rPh sb="7" eb="9">
      <t>シツナイ</t>
    </rPh>
    <rPh sb="9" eb="11">
      <t>セイソウ</t>
    </rPh>
    <rPh sb="20" eb="22">
      <t>ヨコハマ</t>
    </rPh>
    <rPh sb="28" eb="29">
      <t>テン</t>
    </rPh>
    <phoneticPr fontId="9"/>
  </si>
  <si>
    <t>エブリゴー車両メンテナンス・清掃業務一式</t>
    <phoneticPr fontId="3"/>
  </si>
  <si>
    <t>トレンディ24</t>
    <phoneticPr fontId="3"/>
  </si>
  <si>
    <t>スカイモビリティ</t>
    <phoneticPr fontId="3"/>
  </si>
  <si>
    <t>首都圏</t>
    <rPh sb="0" eb="3">
      <t>シュトケン</t>
    </rPh>
    <phoneticPr fontId="3"/>
  </si>
  <si>
    <t>名古屋</t>
    <rPh sb="0" eb="3">
      <t>ナゴヤ</t>
    </rPh>
    <phoneticPr fontId="3"/>
  </si>
  <si>
    <t>オリックス自動車</t>
    <rPh sb="5" eb="8">
      <t>ジドウシャ</t>
    </rPh>
    <phoneticPr fontId="3"/>
  </si>
  <si>
    <r>
      <t>拠点名</t>
    </r>
    <r>
      <rPr>
        <sz val="11"/>
        <color rgb="FFFF0000"/>
        <rFont val="Meiryo UI"/>
        <family val="3"/>
        <charset val="128"/>
      </rPr>
      <t>（選択式）</t>
    </r>
    <rPh sb="0" eb="2">
      <t>キョテン</t>
    </rPh>
    <rPh sb="2" eb="3">
      <t>メイ</t>
    </rPh>
    <phoneticPr fontId="3"/>
  </si>
  <si>
    <t>エブリゴー車両給油代行業務</t>
    <phoneticPr fontId="3"/>
  </si>
  <si>
    <t>エブリゴー車両除菌業務</t>
    <phoneticPr fontId="3"/>
  </si>
  <si>
    <t>旧東京中央</t>
    <phoneticPr fontId="3"/>
  </si>
  <si>
    <t>ホンダモビリティ南関東</t>
    <rPh sb="8" eb="9">
      <t>ミナミ</t>
    </rPh>
    <rPh sb="9" eb="11">
      <t>カントウ</t>
    </rPh>
    <phoneticPr fontId="3"/>
  </si>
  <si>
    <t>旧横浜</t>
    <phoneticPr fontId="3"/>
  </si>
  <si>
    <t>ホンダエブリゴー遺失物管理及び届出業務</t>
    <phoneticPr fontId="3"/>
  </si>
  <si>
    <t>画像撮影業務</t>
    <phoneticPr fontId="3"/>
  </si>
  <si>
    <t>ドライブレコーダーフォーマット業務</t>
    <phoneticPr fontId="3"/>
  </si>
  <si>
    <t>スマートキー電池交換業務</t>
    <phoneticPr fontId="3"/>
  </si>
  <si>
    <t>給油カード交換業務</t>
    <phoneticPr fontId="3"/>
  </si>
  <si>
    <t>バンクレンタカー</t>
    <phoneticPr fontId="3"/>
  </si>
  <si>
    <t>バンクレンタカー</t>
    <phoneticPr fontId="3"/>
  </si>
  <si>
    <t>eemo</t>
    <phoneticPr fontId="3"/>
  </si>
  <si>
    <t>Dパーキング中板橋第1(駐車券あり)</t>
  </si>
  <si>
    <t>Dパーキング中板橋第1</t>
  </si>
  <si>
    <t>カリーノときわ台ST</t>
  </si>
  <si>
    <t>ときわ台ST</t>
  </si>
  <si>
    <t>アップルパーク高島平7丁目第2ST</t>
  </si>
  <si>
    <t>プレミスト志村3丁目</t>
    <rPh sb="5" eb="7">
      <t>シムラ</t>
    </rPh>
    <rPh sb="8" eb="10">
      <t>チョウメ</t>
    </rPh>
    <phoneticPr fontId="3"/>
  </si>
  <si>
    <t>イオン板橋ST</t>
  </si>
  <si>
    <t>板橋徳丸4丁目</t>
  </si>
  <si>
    <t>デミュール赤塚前</t>
  </si>
  <si>
    <t>早宮4丁目A　ST</t>
    <rPh sb="0" eb="2">
      <t>ハヤミヤ</t>
    </rPh>
    <rPh sb="3" eb="5">
      <t>チョウメ</t>
    </rPh>
    <phoneticPr fontId="3"/>
  </si>
  <si>
    <t>早宮4丁目B　ST</t>
  </si>
  <si>
    <t>TOKYO PUBLIC平和台第2ST</t>
  </si>
  <si>
    <t>NPC24H小竹町第3ST</t>
    <rPh sb="6" eb="9">
      <t>コタケチョウ</t>
    </rPh>
    <rPh sb="9" eb="10">
      <t>ダイ</t>
    </rPh>
    <phoneticPr fontId="3"/>
  </si>
  <si>
    <t>長崎6丁目ST</t>
    <rPh sb="0" eb="2">
      <t>ナガサキ</t>
    </rPh>
    <rPh sb="3" eb="5">
      <t>チョウメ</t>
    </rPh>
    <phoneticPr fontId="3"/>
  </si>
  <si>
    <t>要町駅前ST</t>
    <rPh sb="0" eb="1">
      <t>カナメ</t>
    </rPh>
    <rPh sb="1" eb="2">
      <t>チョウ</t>
    </rPh>
    <rPh sb="2" eb="4">
      <t>エキマエ</t>
    </rPh>
    <phoneticPr fontId="3"/>
  </si>
  <si>
    <t>池袋西口公共地下ST</t>
    <rPh sb="0" eb="2">
      <t>イケブクロ</t>
    </rPh>
    <rPh sb="2" eb="4">
      <t>ニシグチ</t>
    </rPh>
    <rPh sb="4" eb="6">
      <t>コウキョウ</t>
    </rPh>
    <rPh sb="6" eb="8">
      <t>チカ</t>
    </rPh>
    <phoneticPr fontId="3"/>
  </si>
  <si>
    <t>東池袋駅前ST</t>
    <rPh sb="0" eb="3">
      <t>ヒガシイケブクロ</t>
    </rPh>
    <rPh sb="3" eb="4">
      <t>エキ</t>
    </rPh>
    <rPh sb="4" eb="5">
      <t>マエ</t>
    </rPh>
    <phoneticPr fontId="3"/>
  </si>
  <si>
    <t>北池袋ST</t>
    <rPh sb="0" eb="3">
      <t>キタイケブクロ</t>
    </rPh>
    <phoneticPr fontId="3"/>
  </si>
  <si>
    <t>プラティーク目黒洗足</t>
  </si>
  <si>
    <t>イオン碑文谷ST</t>
  </si>
  <si>
    <t>雪谷大塚駅前ST</t>
  </si>
  <si>
    <t>ガリシア下丸子ST</t>
  </si>
  <si>
    <t>Dパーキング下丸子３丁目第２</t>
  </si>
  <si>
    <t>ザ・ガーデンズ大田多摩川ST</t>
  </si>
  <si>
    <t>ヒルズ久が原</t>
  </si>
  <si>
    <t>GSパーク大田中央ST</t>
    <rPh sb="5" eb="7">
      <t>オオタ</t>
    </rPh>
    <rPh sb="7" eb="9">
      <t>チュウオウ</t>
    </rPh>
    <phoneticPr fontId="3"/>
  </si>
  <si>
    <t>大田中央7丁目</t>
  </si>
  <si>
    <t>アップルパーク蒲田4丁目第1ST</t>
  </si>
  <si>
    <t>アパホテル京急蒲田駅前</t>
  </si>
  <si>
    <t>テクノポート カマタST</t>
  </si>
  <si>
    <t>京急雑色ST</t>
    <rPh sb="0" eb="2">
      <t>ケイキュウ</t>
    </rPh>
    <rPh sb="2" eb="4">
      <t>ゾウシキ</t>
    </rPh>
    <phoneticPr fontId="3"/>
  </si>
  <si>
    <t>京急雑色ST</t>
  </si>
  <si>
    <t>Dパーキング西糀谷４丁目</t>
  </si>
  <si>
    <t>北糀谷2丁目Dear Flat'sST</t>
  </si>
  <si>
    <t>ガリシア大森EASTST</t>
  </si>
  <si>
    <t>プライムパークス品川</t>
  </si>
  <si>
    <t>大井町ST</t>
  </si>
  <si>
    <t>東急不動前ビルST（パーキングタワー内）</t>
  </si>
  <si>
    <t>田町芝浦ST</t>
    <rPh sb="0" eb="2">
      <t>タマチ</t>
    </rPh>
    <rPh sb="2" eb="4">
      <t>シバウラ</t>
    </rPh>
    <phoneticPr fontId="3"/>
  </si>
  <si>
    <t>港店ST</t>
  </si>
  <si>
    <t>BrilliaTower有明MIDCROSS</t>
  </si>
  <si>
    <t>イオン東雲ST</t>
  </si>
  <si>
    <t>野沢店ＳＴ</t>
    <rPh sb="0" eb="2">
      <t>ノザワ</t>
    </rPh>
    <rPh sb="2" eb="3">
      <t>テン</t>
    </rPh>
    <phoneticPr fontId="3"/>
  </si>
  <si>
    <t>Dパーキング上用賀６丁目第１</t>
  </si>
  <si>
    <t>世田谷駒沢ST</t>
    <rPh sb="0" eb="3">
      <t>セタガヤ</t>
    </rPh>
    <rPh sb="3" eb="5">
      <t>コマザワ</t>
    </rPh>
    <phoneticPr fontId="3"/>
  </si>
  <si>
    <t>代沢ハイツST</t>
  </si>
  <si>
    <t>世田谷赤堤ST</t>
  </si>
  <si>
    <t>経堂イーストプレイスST</t>
  </si>
  <si>
    <t>NPC24H経堂第4ST</t>
  </si>
  <si>
    <t>Dパーキング宮坂3丁目第1ST</t>
  </si>
  <si>
    <t>宮坂3丁目ST</t>
    <rPh sb="0" eb="2">
      <t>ミヤサカ</t>
    </rPh>
    <rPh sb="3" eb="5">
      <t>チョウメ</t>
    </rPh>
    <phoneticPr fontId="3"/>
  </si>
  <si>
    <t>ライブリー西経堂ST</t>
    <rPh sb="5" eb="6">
      <t>ニシ</t>
    </rPh>
    <rPh sb="6" eb="8">
      <t>キョウドウ</t>
    </rPh>
    <phoneticPr fontId="3"/>
  </si>
  <si>
    <t>サンリット西経堂ST</t>
    <rPh sb="5" eb="6">
      <t>ニシ</t>
    </rPh>
    <rPh sb="6" eb="8">
      <t>キョウドウ</t>
    </rPh>
    <phoneticPr fontId="3"/>
  </si>
  <si>
    <t>ブレイク×ザ・パーク世田谷千歳台</t>
    <rPh sb="10" eb="13">
      <t>セタガヤ</t>
    </rPh>
    <rPh sb="13" eb="16">
      <t>チトセダイ</t>
    </rPh>
    <phoneticPr fontId="3"/>
  </si>
  <si>
    <t>NPC24H上北沢1丁目ST</t>
    <rPh sb="6" eb="9">
      <t>カミキタザワ</t>
    </rPh>
    <rPh sb="10" eb="12">
      <t>チョウメ</t>
    </rPh>
    <phoneticPr fontId="3"/>
  </si>
  <si>
    <t>Dパーキング世田谷八幡山３丁目第１</t>
  </si>
  <si>
    <t>桜上水駅前ST</t>
    <rPh sb="0" eb="4">
      <t>サクラジョウスイエキ</t>
    </rPh>
    <rPh sb="4" eb="5">
      <t>マエ</t>
    </rPh>
    <phoneticPr fontId="3"/>
  </si>
  <si>
    <t>高井戸ST</t>
    <rPh sb="0" eb="3">
      <t>タカイド</t>
    </rPh>
    <phoneticPr fontId="3"/>
  </si>
  <si>
    <t>杉並区清水3丁目ST</t>
  </si>
  <si>
    <t>Dパーキング上井草2丁目第2ST</t>
  </si>
  <si>
    <t>鷺宮６丁目ST</t>
  </si>
  <si>
    <t>グリーンパーキング鷺宮第11ST</t>
  </si>
  <si>
    <t>グリーンパーキング鷺宮第10ST</t>
    <rPh sb="9" eb="11">
      <t>サギノミヤ</t>
    </rPh>
    <rPh sb="11" eb="12">
      <t>ダイ</t>
    </rPh>
    <phoneticPr fontId="3"/>
  </si>
  <si>
    <t>鷺ノ宮駅北口ST</t>
    <rPh sb="0" eb="1">
      <t>サギ</t>
    </rPh>
    <rPh sb="2" eb="4">
      <t>ミヤエキ</t>
    </rPh>
    <rPh sb="4" eb="6">
      <t>キタグチ</t>
    </rPh>
    <phoneticPr fontId="3"/>
  </si>
  <si>
    <t>Dパーキング練馬区富士見台2丁目第2</t>
    <rPh sb="6" eb="9">
      <t>ネリマク</t>
    </rPh>
    <rPh sb="9" eb="13">
      <t>フジミダイ</t>
    </rPh>
    <rPh sb="14" eb="16">
      <t>チョウメ</t>
    </rPh>
    <rPh sb="16" eb="17">
      <t>ダイ</t>
    </rPh>
    <phoneticPr fontId="3"/>
  </si>
  <si>
    <t>GSパーク沼袋2丁目ST</t>
    <rPh sb="5" eb="7">
      <t>ヌマブクロ</t>
    </rPh>
    <rPh sb="8" eb="10">
      <t>チョウメ</t>
    </rPh>
    <phoneticPr fontId="3"/>
  </si>
  <si>
    <t>新井薬師前駅ST</t>
  </si>
  <si>
    <t>中野もみじ山通りST</t>
    <rPh sb="0" eb="2">
      <t>ナカノ</t>
    </rPh>
    <rPh sb="5" eb="6">
      <t>ヤマ</t>
    </rPh>
    <rPh sb="6" eb="7">
      <t>ドオ</t>
    </rPh>
    <phoneticPr fontId="3"/>
  </si>
  <si>
    <t>東中野駅前ST</t>
  </si>
  <si>
    <t>中野富士見町駅前ST</t>
  </si>
  <si>
    <t>NPC24H中野本町第３ST</t>
  </si>
  <si>
    <t>高円寺店ST</t>
    <rPh sb="0" eb="3">
      <t>コウエンジ</t>
    </rPh>
    <rPh sb="3" eb="4">
      <t>テン</t>
    </rPh>
    <phoneticPr fontId="3"/>
  </si>
  <si>
    <t>NPC24H立川北口PST</t>
    <rPh sb="6" eb="8">
      <t>タチカワ</t>
    </rPh>
    <rPh sb="8" eb="10">
      <t>キタグチ</t>
    </rPh>
    <phoneticPr fontId="3"/>
  </si>
  <si>
    <t>NTTル・パルク西恋ヶ窪ST</t>
    <rPh sb="8" eb="12">
      <t>ニシコイガクボ</t>
    </rPh>
    <phoneticPr fontId="3"/>
  </si>
  <si>
    <t>NPC24H調布第1PST</t>
    <rPh sb="6" eb="8">
      <t>チョウフ</t>
    </rPh>
    <rPh sb="8" eb="9">
      <t>ダイ</t>
    </rPh>
    <phoneticPr fontId="3"/>
  </si>
  <si>
    <t>桜堤hoccoST</t>
  </si>
  <si>
    <t>花小金井駅前ST</t>
    <rPh sb="0" eb="4">
      <t>ハナコガネイ</t>
    </rPh>
    <rPh sb="4" eb="6">
      <t>エキマエ</t>
    </rPh>
    <phoneticPr fontId="4"/>
  </si>
  <si>
    <t>三鷹店ST</t>
  </si>
  <si>
    <t>環七大谷田店ST</t>
  </si>
  <si>
    <t>東綾瀬ＳＴ</t>
    <rPh sb="0" eb="3">
      <t>ヒガシアヤセ</t>
    </rPh>
    <phoneticPr fontId="3"/>
  </si>
  <si>
    <t>西新井栄町3丁目</t>
    <rPh sb="0" eb="3">
      <t>ニシアライ</t>
    </rPh>
    <rPh sb="3" eb="5">
      <t>サカエチョウ</t>
    </rPh>
    <rPh sb="6" eb="8">
      <t>チョウメ</t>
    </rPh>
    <phoneticPr fontId="3"/>
  </si>
  <si>
    <t>西新井店ST</t>
  </si>
  <si>
    <t>ソライエ・プレミアムテラスST</t>
  </si>
  <si>
    <t>三ノ輪ＳＴ</t>
    <rPh sb="0" eb="1">
      <t>ミ</t>
    </rPh>
    <rPh sb="2" eb="3">
      <t>ワ</t>
    </rPh>
    <phoneticPr fontId="3"/>
  </si>
  <si>
    <t>東日暮里1丁目ＳＴ</t>
    <rPh sb="0" eb="4">
      <t>ヒガシニッポリ</t>
    </rPh>
    <rPh sb="5" eb="7">
      <t>チョウメ</t>
    </rPh>
    <phoneticPr fontId="3"/>
  </si>
  <si>
    <t>西日暮里駅前ST</t>
    <rPh sb="0" eb="5">
      <t>ニシニッポリエキ</t>
    </rPh>
    <rPh sb="5" eb="6">
      <t>マエ</t>
    </rPh>
    <phoneticPr fontId="3"/>
  </si>
  <si>
    <t>セリュークス駒込ST</t>
  </si>
  <si>
    <t>豊島駒込6丁目ST</t>
  </si>
  <si>
    <t>小石川5丁目（ル ボヌール播磨坂）ST</t>
    <rPh sb="0" eb="3">
      <t>コイシカワ</t>
    </rPh>
    <rPh sb="4" eb="6">
      <t>チョウメ</t>
    </rPh>
    <rPh sb="13" eb="15">
      <t>ハリマ</t>
    </rPh>
    <rPh sb="15" eb="16">
      <t>サカ</t>
    </rPh>
    <phoneticPr fontId="3"/>
  </si>
  <si>
    <t>足立小台店ST</t>
  </si>
  <si>
    <t xml:space="preserve">ガーデンクロス東京王子ST </t>
  </si>
  <si>
    <t>GSパーク板橋区役所前ステーション</t>
  </si>
  <si>
    <t>イオンモール与野4階</t>
  </si>
  <si>
    <t>和光市役所ST</t>
  </si>
  <si>
    <t>エルプレイス下総中山</t>
  </si>
  <si>
    <t>遠隔出張費(千葉県船橋市)</t>
    <rPh sb="0" eb="2">
      <t>エンカク</t>
    </rPh>
    <rPh sb="2" eb="4">
      <t>シュッチョウ</t>
    </rPh>
    <rPh sb="4" eb="5">
      <t>ヒ</t>
    </rPh>
    <rPh sb="6" eb="8">
      <t>チバ</t>
    </rPh>
    <phoneticPr fontId="2"/>
  </si>
  <si>
    <t>遠隔出張費(埼玉県和光市)</t>
    <phoneticPr fontId="3"/>
  </si>
  <si>
    <t>遠隔出張費(埼玉県さいたま市)</t>
    <phoneticPr fontId="3"/>
  </si>
  <si>
    <t>N-BOX(江東500わ133)</t>
  </si>
  <si>
    <t>VEZEL (練馬301わ391)</t>
  </si>
  <si>
    <t>N-BOX(品川580わ4722)</t>
  </si>
  <si>
    <t>VEZEL(世田谷300わ2559)</t>
  </si>
  <si>
    <t>FREED HYBRID(杉並500わ2137)</t>
  </si>
  <si>
    <t>N-BOX (世田谷580わ612)</t>
  </si>
  <si>
    <t>FREED(世田谷500わ4301)</t>
  </si>
  <si>
    <t>N-BOX(品川580わ4766)</t>
  </si>
  <si>
    <t>FIT (品川504わ7370)</t>
  </si>
  <si>
    <t>VEZEL (板橋300わ0526)</t>
  </si>
  <si>
    <t>N-BOX(品川580わ4652)</t>
  </si>
  <si>
    <t>STEP WGN(品川302わ2221)</t>
  </si>
  <si>
    <t>ZR-V(品川302わ3772)</t>
  </si>
  <si>
    <t>ステップワゴン(練馬300わ8562)</t>
  </si>
  <si>
    <t>N-VAN(板橋480わ0111)</t>
  </si>
  <si>
    <t>WR-V(世田谷300わ2674)</t>
  </si>
  <si>
    <t>Ｎ－ＢＯＸ(練馬580わ2696)</t>
  </si>
  <si>
    <t>FREED HYBRID(多摩502わ5854)</t>
  </si>
  <si>
    <t>フリード(練馬503わ3771)</t>
  </si>
  <si>
    <t>ステップワゴン(世田谷300わ1855)</t>
  </si>
  <si>
    <t>FREED(世田谷500わ4715)</t>
  </si>
  <si>
    <t>FIT e:HEV(練馬503わ6198)</t>
  </si>
  <si>
    <t>WR-V(練馬301わ1632)</t>
  </si>
  <si>
    <t>N-BOX(多摩580わ4061)</t>
  </si>
  <si>
    <t>Ｎ－ＢＯＸ(練馬580わ2557)</t>
  </si>
  <si>
    <t>FREED (品川505わ4621)</t>
  </si>
  <si>
    <t>ZR−V(品川302わ2741)</t>
  </si>
  <si>
    <t>WR-V(板橋300わ0728)</t>
  </si>
  <si>
    <t>ZR-V(板橋300わ0529)</t>
  </si>
  <si>
    <t>NBOX(品川580わ5326)</t>
  </si>
  <si>
    <t>FREED (品川302わ4911)</t>
  </si>
  <si>
    <t>オデッセイ(大宮301わ13)</t>
  </si>
  <si>
    <t>FREED HYBRID(江東500わ1172)</t>
  </si>
  <si>
    <t>N-BOX(江東580わ340)</t>
  </si>
  <si>
    <t>ZR-V(品川302わ2731)</t>
  </si>
  <si>
    <t>STEP WGN(江東300わ346)</t>
  </si>
  <si>
    <t>WR-V(江東300わ1011)</t>
  </si>
  <si>
    <t>STEP WGN(江東300わ933)</t>
  </si>
  <si>
    <t>FREED(江東300わ1110)</t>
  </si>
  <si>
    <t>FREED HYBRID(江東500わ1214)</t>
  </si>
  <si>
    <t>N-BOX(板橋580わ129)</t>
  </si>
  <si>
    <t>STEP WGN(品川302わ1981)</t>
  </si>
  <si>
    <t>ZR-V(品川302わ5200)</t>
  </si>
  <si>
    <t>フリード(品川302わ3974)</t>
  </si>
  <si>
    <t>CIVIC(品川302わ3238)</t>
  </si>
  <si>
    <t>WR-V(品川302わ5736)</t>
  </si>
  <si>
    <t>N-BOX(多摩580わ4062)</t>
  </si>
  <si>
    <t>FREED HYBRID(練馬503わ5714)</t>
  </si>
  <si>
    <t>VEZEL(千葉301わ1100 )</t>
  </si>
  <si>
    <t>N-BOX(船橋580わ639)</t>
  </si>
  <si>
    <t>FIT(練馬503わ4210)</t>
  </si>
  <si>
    <t>STEP WGN(練馬300わ8393)</t>
  </si>
  <si>
    <t>N-BOX(練馬580わ2694)</t>
  </si>
  <si>
    <t>N-BOX(練馬580わ3337)</t>
  </si>
  <si>
    <t>N-BOX(板橋580わ0112)</t>
  </si>
  <si>
    <t>FREED HYBRID(板橋500わ0779)</t>
  </si>
  <si>
    <t>FREED HYBRID(品川504わ7302)</t>
  </si>
  <si>
    <t>フィット(品川504わ7301)</t>
  </si>
  <si>
    <t>N-BOX(品川580わ4304)</t>
  </si>
  <si>
    <t>N-BOX(板橋580わ130)</t>
  </si>
  <si>
    <t>WR-V(板橋300わ0566)</t>
  </si>
  <si>
    <t>フリード(板橋500わ1579)</t>
  </si>
  <si>
    <t>N-BOX(板橋580わ0177)</t>
  </si>
  <si>
    <t>N-BOX(練馬580わ2971)</t>
  </si>
  <si>
    <t>N-BOX(練馬580わ3468)</t>
  </si>
  <si>
    <t>STEPWGN (練馬301わ358)</t>
  </si>
  <si>
    <t>VEZEL (練馬301わ359)</t>
  </si>
  <si>
    <t>N-BOX(品川580わ5539)</t>
  </si>
  <si>
    <t>N-BOX(練馬580わ3428)</t>
  </si>
  <si>
    <t>N-BOX (杉並580わ371)</t>
  </si>
  <si>
    <t>STEP WGN(品川301わ7687)</t>
  </si>
  <si>
    <t>FIT(品川504わ7324)</t>
  </si>
  <si>
    <t>FREED HYBRID(練馬503わ2865)</t>
  </si>
  <si>
    <t>N-BOX(杉並580わ238)</t>
  </si>
  <si>
    <t>N-BOX(世田谷580わ686)</t>
  </si>
  <si>
    <t>FIT HYBRID(練馬503わ1286)</t>
  </si>
  <si>
    <t>N-BOX(練馬580わ3631)</t>
  </si>
  <si>
    <t>FREED HYBRID(足立503わ5757)</t>
  </si>
  <si>
    <t>N-BOX(世田谷580わ417)</t>
  </si>
  <si>
    <t>FREED(杉並500わ2793)</t>
  </si>
  <si>
    <t>N-BOX (杉並580わ325)</t>
  </si>
  <si>
    <t>N-BOX(品川580わ4670)</t>
  </si>
  <si>
    <t>FIT (練馬503わ1123)</t>
  </si>
  <si>
    <t>FIT e:HEV(板橋500わ562)</t>
  </si>
  <si>
    <t>N-BOX(練馬580わ3080)</t>
  </si>
  <si>
    <t>N-BOX(練馬580わ2697)</t>
  </si>
  <si>
    <t>VEZEL(足立301わ2581)</t>
  </si>
  <si>
    <t>N-BOX(足立580わ3130)</t>
  </si>
  <si>
    <t>FIT(世田谷500わ4669)</t>
  </si>
  <si>
    <t>N-BOX(多摩580わ4087)</t>
  </si>
  <si>
    <t>STEP WGN(多摩300わ7154)</t>
  </si>
  <si>
    <t>N-BOX(足立580わ3612)</t>
  </si>
  <si>
    <t>FIT(練馬503わ5717)</t>
  </si>
  <si>
    <t>N-BOX(練馬580わ2609)</t>
  </si>
  <si>
    <t>FREED　HYBRID(足立301わ2025)</t>
  </si>
  <si>
    <t>N-BOX(足立580わ3862)</t>
  </si>
  <si>
    <t>FREED HYBRID(品川505わ2351)</t>
  </si>
  <si>
    <t>フリード(品川505わ721)</t>
  </si>
  <si>
    <t>フィット(品川505わ722)</t>
  </si>
  <si>
    <t>FREED (品川504わ9051)</t>
  </si>
  <si>
    <t>FIT(品川505わ5700)</t>
  </si>
  <si>
    <t>FREED HYBRID (品川505わ1874)</t>
  </si>
  <si>
    <t>STEP WGN(板橋300わ401)</t>
  </si>
  <si>
    <t>N-BOX(足立580わ3429)</t>
  </si>
  <si>
    <t>N-BOX(足立580わ2900)</t>
  </si>
  <si>
    <t>N-BOX(世田谷580わ519)</t>
  </si>
  <si>
    <t>FIT(世田谷500わ5235)</t>
  </si>
  <si>
    <t>N-BOX(足立580わ3939)</t>
  </si>
  <si>
    <t>VEZEL(足立301わ2327)</t>
  </si>
  <si>
    <t>WR-V(品川302わ5222)</t>
  </si>
  <si>
    <t>WR-V(世田谷300わ2676)</t>
  </si>
  <si>
    <t>ZR-V(練馬301わ516)</t>
  </si>
  <si>
    <t>FREED HYBRID(練馬503わ4728)</t>
  </si>
  <si>
    <t>フリード(品川505わ2026)</t>
  </si>
  <si>
    <t>N-BOX (品川580わ4625)</t>
  </si>
  <si>
    <t>シビック(多摩300わ7462)</t>
  </si>
  <si>
    <t>FREED(練馬503わ5050)</t>
  </si>
  <si>
    <t>N-BOX(杉並580わ0334)</t>
  </si>
  <si>
    <t>N-BOX(世田谷580わ539)</t>
  </si>
  <si>
    <t>CIVIC(足立301わ1803)</t>
  </si>
  <si>
    <t>WR-V(品川302わ5121)</t>
  </si>
  <si>
    <t>VEZEL (品川302わ5122)</t>
  </si>
  <si>
    <t>N-BOX(品川580わ5203)</t>
  </si>
  <si>
    <t>FREED　HYBRID(練馬503わ3771)</t>
  </si>
  <si>
    <t>　N-BOX(足立580わ3938)</t>
  </si>
  <si>
    <t>N-BOX(世田谷580わ730)</t>
  </si>
  <si>
    <t>FREED(品川505わ4710)</t>
  </si>
  <si>
    <t>N-BOX(品川580わ4305)</t>
  </si>
  <si>
    <t>FREED HYBRID(品川505わ8408)</t>
  </si>
  <si>
    <t>ZR-V(品川302わ6995)</t>
  </si>
  <si>
    <t>FREED HYBRID(品川505わ2025)</t>
  </si>
  <si>
    <t>WR-V(杉並300わ1170)</t>
  </si>
  <si>
    <t>N-BOX(杉並580わ261)</t>
  </si>
  <si>
    <t>N-BOX(足立580わ3131)</t>
  </si>
  <si>
    <t>FIT(品川505わ7239)</t>
  </si>
  <si>
    <t>N-BOX(品川580わ4622)</t>
  </si>
  <si>
    <t>FREED HYBRID(練馬503わ919)</t>
  </si>
  <si>
    <t>フリード(練馬301わ1303)</t>
  </si>
  <si>
    <t>N-BOX(板橋580わ255)</t>
  </si>
  <si>
    <t>N-BOX(練馬580わ3668)</t>
  </si>
  <si>
    <t>FIT(品川505わ5375)</t>
  </si>
  <si>
    <t>N-BOX(所沢580わ3701)</t>
  </si>
  <si>
    <t>FIT(所沢501わ1940)</t>
  </si>
  <si>
    <t>STEP　WGN(所沢300わ4371)</t>
  </si>
  <si>
    <t>遠隔出張費(千葉県船橋市)</t>
    <rPh sb="6" eb="8">
      <t>チバ</t>
    </rPh>
    <phoneticPr fontId="2"/>
  </si>
  <si>
    <t>遠隔出張費(埼玉県さいたま市)</t>
    <rPh sb="13" eb="14">
      <t>シ</t>
    </rPh>
    <phoneticPr fontId="2"/>
  </si>
  <si>
    <t>遠隔出張費(埼玉県和光市)</t>
    <rPh sb="9" eb="11">
      <t>ワコウ</t>
    </rPh>
    <rPh sb="11" eb="12">
      <t>シ</t>
    </rPh>
    <phoneticPr fontId="2"/>
  </si>
  <si>
    <t>設定エリアごとに1日あたり最大1回加算されるので、スタッフが入力をするのではなく、同日に複数台業務報告があった場合でも自動で1回として加算（同じエリアで同日に複数回入力があっても1回のみ加算）</t>
    <rPh sb="0" eb="2">
      <t>セッテイ</t>
    </rPh>
    <rPh sb="9" eb="10">
      <t>ニチ</t>
    </rPh>
    <rPh sb="13" eb="15">
      <t>サイダイ</t>
    </rPh>
    <rPh sb="16" eb="17">
      <t>カイ</t>
    </rPh>
    <rPh sb="17" eb="19">
      <t>カサン</t>
    </rPh>
    <rPh sb="30" eb="32">
      <t>ニュウリョク</t>
    </rPh>
    <rPh sb="41" eb="43">
      <t>ドウジツ</t>
    </rPh>
    <rPh sb="44" eb="46">
      <t>フクスウ</t>
    </rPh>
    <rPh sb="46" eb="47">
      <t>ダイ</t>
    </rPh>
    <rPh sb="47" eb="49">
      <t>ギョウム</t>
    </rPh>
    <rPh sb="49" eb="51">
      <t>ホウコク</t>
    </rPh>
    <rPh sb="55" eb="57">
      <t>バアイ</t>
    </rPh>
    <rPh sb="59" eb="61">
      <t>ジドウ</t>
    </rPh>
    <rPh sb="63" eb="64">
      <t>カイ</t>
    </rPh>
    <rPh sb="67" eb="69">
      <t>カサン</t>
    </rPh>
    <rPh sb="70" eb="71">
      <t>オナ</t>
    </rPh>
    <rPh sb="76" eb="78">
      <t>ドウジツ</t>
    </rPh>
    <rPh sb="79" eb="82">
      <t>フクスウカイ</t>
    </rPh>
    <rPh sb="82" eb="84">
      <t>ニュウリョク</t>
    </rPh>
    <rPh sb="90" eb="91">
      <t>カイ</t>
    </rPh>
    <rPh sb="93" eb="95">
      <t>カサン</t>
    </rPh>
    <phoneticPr fontId="3"/>
  </si>
  <si>
    <t>緊急対応業務（72時間以内対応）</t>
    <phoneticPr fontId="3"/>
  </si>
  <si>
    <t>緊急対応業務（48時間以内対応）</t>
    <phoneticPr fontId="3"/>
  </si>
  <si>
    <t>巡回清掃及び点検業務(週1回実施/備品確認)</t>
    <phoneticPr fontId="3"/>
  </si>
  <si>
    <t>給油代行業務</t>
    <phoneticPr fontId="3"/>
  </si>
  <si>
    <t>スマートバリュー</t>
    <phoneticPr fontId="3"/>
  </si>
  <si>
    <t>タイヤワックス塗布</t>
    <phoneticPr fontId="3"/>
  </si>
  <si>
    <t>バッテリー充電走行業務</t>
    <phoneticPr fontId="3"/>
  </si>
  <si>
    <t>バッテリージャンピング業務</t>
    <phoneticPr fontId="3"/>
  </si>
  <si>
    <t>選択項目①（事業者/車種/ST）</t>
    <rPh sb="0" eb="2">
      <t>センタク</t>
    </rPh>
    <rPh sb="2" eb="4">
      <t>コウモク</t>
    </rPh>
    <rPh sb="6" eb="8">
      <t>ジギョウ</t>
    </rPh>
    <rPh sb="8" eb="9">
      <t>シャ</t>
    </rPh>
    <rPh sb="10" eb="12">
      <t>シャシュ</t>
    </rPh>
    <phoneticPr fontId="3"/>
  </si>
  <si>
    <t>（ｺﾛﾝﾋﾞｱ・ﾜｰｸｽ社様/TeslaﾓﾃﾞﾙY/ルミークスイート恵比寿ST)</t>
    <phoneticPr fontId="3"/>
  </si>
  <si>
    <t>（ExKey社様/Teslaﾓﾃﾞﾙ3/水天宮ST)</t>
    <phoneticPr fontId="3"/>
  </si>
  <si>
    <t>（ExKey社様/Teslaﾓﾃﾞﾙ3/目黒ST)</t>
    <phoneticPr fontId="3"/>
  </si>
  <si>
    <t>（ExKey社様/Teslaﾓﾃﾞﾙ3/錦糸町ST)</t>
    <phoneticPr fontId="3"/>
  </si>
  <si>
    <t>アゲハ</t>
    <phoneticPr fontId="3"/>
  </si>
  <si>
    <t>23区内巡回清掃及び点検業務</t>
    <phoneticPr fontId="3"/>
  </si>
  <si>
    <t>巡回清掃及び点検業務（水天宮/錦糸町/目黒）</t>
    <rPh sb="11" eb="14">
      <t>スイテングウ</t>
    </rPh>
    <rPh sb="15" eb="18">
      <t>キンシチョウ</t>
    </rPh>
    <rPh sb="19" eb="21">
      <t>メグロ</t>
    </rPh>
    <phoneticPr fontId="2"/>
  </si>
  <si>
    <t>巡回清掃及び点検業務（恵比寿）</t>
    <phoneticPr fontId="2"/>
  </si>
  <si>
    <t>←巡回清掃及び点検業務（水天宮/錦糸町/目黒）を選択した場合は表示されない</t>
    <rPh sb="24" eb="26">
      <t>センタク</t>
    </rPh>
    <rPh sb="28" eb="30">
      <t>バアイ</t>
    </rPh>
    <rPh sb="31" eb="33">
      <t>ヒョウジ</t>
    </rPh>
    <phoneticPr fontId="3"/>
  </si>
  <si>
    <t>ラッピング業務</t>
    <rPh sb="5" eb="7">
      <t>ギョウム</t>
    </rPh>
    <phoneticPr fontId="3"/>
  </si>
  <si>
    <t>軽貨物車両車内清掃業務</t>
    <rPh sb="0" eb="1">
      <t>ケイ</t>
    </rPh>
    <rPh sb="1" eb="3">
      <t>カモツ</t>
    </rPh>
    <rPh sb="3" eb="5">
      <t>シャリョウ</t>
    </rPh>
    <rPh sb="5" eb="7">
      <t>シャナイ</t>
    </rPh>
    <rPh sb="7" eb="9">
      <t>セイソウ</t>
    </rPh>
    <rPh sb="9" eb="11">
      <t>ギョウム</t>
    </rPh>
    <phoneticPr fontId="8"/>
  </si>
  <si>
    <t>軽貨物車両除菌・消臭業務</t>
    <rPh sb="0" eb="1">
      <t>ケイ</t>
    </rPh>
    <rPh sb="1" eb="3">
      <t>カモツ</t>
    </rPh>
    <rPh sb="3" eb="5">
      <t>シャリョウ</t>
    </rPh>
    <rPh sb="5" eb="7">
      <t>ジョキン</t>
    </rPh>
    <rPh sb="8" eb="10">
      <t>ショウシュウ</t>
    </rPh>
    <rPh sb="10" eb="12">
      <t>ギョウム</t>
    </rPh>
    <phoneticPr fontId="2"/>
  </si>
  <si>
    <t>軽貨物車両撮影業務（10枚まで）</t>
  </si>
  <si>
    <t>給油代行業務</t>
    <rPh sb="0" eb="2">
      <t>キュウユ</t>
    </rPh>
    <rPh sb="2" eb="4">
      <t>ダイコウ</t>
    </rPh>
    <rPh sb="4" eb="6">
      <t>ギョウム</t>
    </rPh>
    <phoneticPr fontId="5"/>
  </si>
  <si>
    <t>回収済み忘れ物管理業務（警察署届）</t>
    <rPh sb="0" eb="2">
      <t>カイシュウ</t>
    </rPh>
    <rPh sb="2" eb="3">
      <t>ズ</t>
    </rPh>
    <rPh sb="4" eb="5">
      <t>ワス</t>
    </rPh>
    <rPh sb="6" eb="7">
      <t>モノ</t>
    </rPh>
    <rPh sb="7" eb="9">
      <t>カンリ</t>
    </rPh>
    <rPh sb="9" eb="11">
      <t>ギョウム</t>
    </rPh>
    <rPh sb="12" eb="15">
      <t>ケイサツショ</t>
    </rPh>
    <rPh sb="15" eb="16">
      <t>トドケ</t>
    </rPh>
    <phoneticPr fontId="5"/>
  </si>
  <si>
    <t>内外装清掃及び点検業務（二週に一度）</t>
    <phoneticPr fontId="3"/>
  </si>
  <si>
    <t>巡回業務実施時の別ステーションへの追加駆け付け対応業務</t>
    <phoneticPr fontId="3"/>
  </si>
  <si>
    <t>バッテリージャンピング対応</t>
    <phoneticPr fontId="3"/>
  </si>
  <si>
    <t>バッテリー充電走行（10km)</t>
    <phoneticPr fontId="3"/>
  </si>
  <si>
    <t>オイル補充業務</t>
    <phoneticPr fontId="5"/>
  </si>
  <si>
    <t>スマートキー電池交換追加作業費</t>
    <rPh sb="6" eb="8">
      <t>デンチ</t>
    </rPh>
    <rPh sb="8" eb="10">
      <t>コウカン</t>
    </rPh>
    <rPh sb="10" eb="12">
      <t>ツイカ</t>
    </rPh>
    <rPh sb="12" eb="14">
      <t>サギョウ</t>
    </rPh>
    <rPh sb="14" eb="15">
      <t>ヒ</t>
    </rPh>
    <phoneticPr fontId="5"/>
  </si>
  <si>
    <t>車両移動業務</t>
    <rPh sb="0" eb="2">
      <t>シャリョウ</t>
    </rPh>
    <rPh sb="2" eb="4">
      <t>イドウ</t>
    </rPh>
    <rPh sb="4" eb="6">
      <t>ギョウム</t>
    </rPh>
    <phoneticPr fontId="5"/>
  </si>
  <si>
    <t>巡回清掃及び点検業務</t>
    <phoneticPr fontId="3"/>
  </si>
  <si>
    <t>車内除菌業務</t>
    <phoneticPr fontId="3"/>
  </si>
  <si>
    <t>車載除菌水定額パック（弱酸性次亜塩素酸除菌水/100ppm）</t>
    <phoneticPr fontId="3"/>
  </si>
  <si>
    <t>1台に対して1か月に1回だけ加算される（月の中で1回でも巡回清掃及び点検業務の入力があれば自動的に1回加算）</t>
    <rPh sb="1" eb="2">
      <t>ダイ</t>
    </rPh>
    <rPh sb="3" eb="4">
      <t>タイ</t>
    </rPh>
    <rPh sb="8" eb="9">
      <t>ゲツ</t>
    </rPh>
    <rPh sb="11" eb="12">
      <t>カイ</t>
    </rPh>
    <rPh sb="14" eb="16">
      <t>カサン</t>
    </rPh>
    <rPh sb="20" eb="21">
      <t>ツキ</t>
    </rPh>
    <rPh sb="22" eb="23">
      <t>ナカ</t>
    </rPh>
    <rPh sb="25" eb="26">
      <t>カイ</t>
    </rPh>
    <rPh sb="39" eb="41">
      <t>ニュウリョク</t>
    </rPh>
    <rPh sb="45" eb="48">
      <t>ジドウテキ</t>
    </rPh>
    <rPh sb="50" eb="51">
      <t>カイ</t>
    </rPh>
    <rPh sb="51" eb="53">
      <t>カサン</t>
    </rPh>
    <phoneticPr fontId="3"/>
  </si>
  <si>
    <t>バッテリーあがり防止走行(10㎞）</t>
    <phoneticPr fontId="3"/>
  </si>
  <si>
    <t>給油代行業務</t>
    <rPh sb="0" eb="6">
      <t>キュウユダイコウギョウム</t>
    </rPh>
    <phoneticPr fontId="1"/>
  </si>
  <si>
    <t>空気圧充填業務</t>
    <rPh sb="0" eb="7">
      <t>クウキアツジュウテンギョウム</t>
    </rPh>
    <phoneticPr fontId="1"/>
  </si>
  <si>
    <t>バッテリージャンピング</t>
    <phoneticPr fontId="3"/>
  </si>
  <si>
    <t>遠方追加費用(与野）</t>
  </si>
  <si>
    <t>遠方追加費用(与野）</t>
    <phoneticPr fontId="3"/>
  </si>
  <si>
    <t>遠方追加費用(さいたま市南区）</t>
    <phoneticPr fontId="3"/>
  </si>
  <si>
    <t>遠方追加費用(さいたま市見沼区）</t>
    <phoneticPr fontId="3"/>
  </si>
  <si>
    <t>遠方追加費用(草加市）</t>
    <phoneticPr fontId="3"/>
  </si>
  <si>
    <t>遠方追加費用(秦野市）</t>
    <rPh sb="9" eb="10">
      <t>シ</t>
    </rPh>
    <phoneticPr fontId="3"/>
  </si>
  <si>
    <t>遠方追加費用(大和市）</t>
    <phoneticPr fontId="3"/>
  </si>
  <si>
    <t>遠方追加費用(鎌倉市）</t>
    <rPh sb="7" eb="9">
      <t>カマクラ</t>
    </rPh>
    <phoneticPr fontId="3"/>
  </si>
  <si>
    <t>遠方追加費用(海老名市）</t>
    <rPh sb="7" eb="10">
      <t>エビナ</t>
    </rPh>
    <rPh sb="10" eb="11">
      <t>シ</t>
    </rPh>
    <phoneticPr fontId="3"/>
  </si>
  <si>
    <t>遠方追加費用(座間市）</t>
    <phoneticPr fontId="3"/>
  </si>
  <si>
    <t>遠方追加費用(藤沢市）</t>
    <phoneticPr fontId="3"/>
  </si>
  <si>
    <t>遠方追加費用(相模原市）</t>
    <phoneticPr fontId="3"/>
  </si>
  <si>
    <t>遠方追加費用(千葉県）</t>
    <phoneticPr fontId="3"/>
  </si>
  <si>
    <t>遠方追加費用(昭島市）</t>
    <phoneticPr fontId="3"/>
  </si>
  <si>
    <t>遠方追加費用(町田市）</t>
    <phoneticPr fontId="3"/>
  </si>
  <si>
    <t>選択項目①（ステーション/車種/車番）</t>
    <rPh sb="0" eb="2">
      <t>センタク</t>
    </rPh>
    <rPh sb="2" eb="4">
      <t>コウモク</t>
    </rPh>
    <rPh sb="13" eb="15">
      <t>シャシュ</t>
    </rPh>
    <rPh sb="16" eb="18">
      <t>シャバン</t>
    </rPh>
    <phoneticPr fontId="3"/>
  </si>
  <si>
    <t>遠方追加費用(さいたま市南区）</t>
    <rPh sb="11" eb="12">
      <t>シ</t>
    </rPh>
    <rPh sb="12" eb="14">
      <t>ミナミク</t>
    </rPh>
    <phoneticPr fontId="1"/>
  </si>
  <si>
    <t>遠方追加費用(さいたま市見沼区）</t>
    <rPh sb="11" eb="12">
      <t>シ</t>
    </rPh>
    <rPh sb="12" eb="14">
      <t>ミヌマ</t>
    </rPh>
    <rPh sb="14" eb="15">
      <t>ク</t>
    </rPh>
    <phoneticPr fontId="1"/>
  </si>
  <si>
    <t>遠方追加費用(草加市）</t>
    <rPh sb="7" eb="10">
      <t>ソウカシ</t>
    </rPh>
    <phoneticPr fontId="1"/>
  </si>
  <si>
    <t>遠方追加費用(秦野）</t>
    <rPh sb="7" eb="9">
      <t>ハタノ</t>
    </rPh>
    <phoneticPr fontId="1"/>
  </si>
  <si>
    <t>遠方追加費用(大和市）</t>
    <rPh sb="7" eb="9">
      <t>ヤマト</t>
    </rPh>
    <rPh sb="9" eb="10">
      <t>シ</t>
    </rPh>
    <phoneticPr fontId="1"/>
  </si>
  <si>
    <t>遠方追加費用(鎌倉市）</t>
    <rPh sb="7" eb="10">
      <t>カマクラシ</t>
    </rPh>
    <phoneticPr fontId="1"/>
  </si>
  <si>
    <t>遠方追加費用(海老名市）</t>
    <rPh sb="7" eb="11">
      <t>エビナシ</t>
    </rPh>
    <phoneticPr fontId="1"/>
  </si>
  <si>
    <t>遠方追加費用(座間市）</t>
    <rPh sb="7" eb="9">
      <t>ザマ</t>
    </rPh>
    <rPh sb="9" eb="10">
      <t>シ</t>
    </rPh>
    <phoneticPr fontId="1"/>
  </si>
  <si>
    <t>遠方追加費用(藤沢市）</t>
    <rPh sb="7" eb="10">
      <t>フジサワシ</t>
    </rPh>
    <phoneticPr fontId="1"/>
  </si>
  <si>
    <t>遠方追加費用(相模原市）</t>
    <rPh sb="7" eb="10">
      <t>サガミハラ</t>
    </rPh>
    <rPh sb="10" eb="11">
      <t>シ</t>
    </rPh>
    <phoneticPr fontId="1"/>
  </si>
  <si>
    <t>遠方追加費用(千葉県）</t>
    <rPh sb="7" eb="9">
      <t>チバ</t>
    </rPh>
    <rPh sb="9" eb="10">
      <t>ケン</t>
    </rPh>
    <phoneticPr fontId="1"/>
  </si>
  <si>
    <t>新松戸第一ステーション/ワゴンR/松戸580わ763</t>
    <rPh sb="4" eb="5">
      <t>イチ</t>
    </rPh>
    <rPh sb="17" eb="19">
      <t>マツド</t>
    </rPh>
    <phoneticPr fontId="1"/>
  </si>
  <si>
    <t>新松戸第一ステーション/ワゴンR/松戸580わ764</t>
    <rPh sb="4" eb="5">
      <t>イチ</t>
    </rPh>
    <phoneticPr fontId="1"/>
  </si>
  <si>
    <t>新松戸第二ステーション/ノート/松戸500わ1319</t>
    <rPh sb="4" eb="5">
      <t>ニ</t>
    </rPh>
    <rPh sb="16" eb="18">
      <t>マツド</t>
    </rPh>
    <phoneticPr fontId="1"/>
  </si>
  <si>
    <t>新松戸第二ステーション/ノート/松戸500わ1318</t>
    <rPh sb="4" eb="5">
      <t>ニ</t>
    </rPh>
    <rPh sb="16" eb="18">
      <t>マツド</t>
    </rPh>
    <phoneticPr fontId="1"/>
  </si>
  <si>
    <t>遠方追加費用(昭島市）</t>
    <rPh sb="7" eb="10">
      <t>アキシマシ</t>
    </rPh>
    <phoneticPr fontId="1"/>
  </si>
  <si>
    <t>遠方追加費用(町田市）</t>
    <rPh sb="7" eb="9">
      <t>マチダ</t>
    </rPh>
    <rPh sb="9" eb="10">
      <t>シ</t>
    </rPh>
    <phoneticPr fontId="1"/>
  </si>
  <si>
    <t>横浜田奈町ステーション/デイズ/横浜580わ8560</t>
  </si>
  <si>
    <t>横浜田奈町ステーション/デイズ/横浜580わ8410</t>
  </si>
  <si>
    <t>横浜潮田町四丁目ステーション/ノート/横浜504わ2967</t>
  </si>
  <si>
    <t>南与野駅前第二ステーション/デイズ/大宮580わ7606</t>
  </si>
  <si>
    <t>中浦和駅前西口ステーション/デイズ/大宮580わ7607</t>
  </si>
  <si>
    <t>東大宮駅東口ステーション/ノート/大宮502わ7292</t>
  </si>
  <si>
    <t>東大宮駅東口ステーション/ノート/大宮502わ7300</t>
  </si>
  <si>
    <t>新田駅西口ステーション/デイズ/春日部580わ3261</t>
  </si>
  <si>
    <t>新田駅西口ステーション/デイズ/春日部580わ3308</t>
  </si>
  <si>
    <t>東海大学駅前ステーション/ノート/湘南501わ9284</t>
  </si>
  <si>
    <t>鶴巻温泉駅前南口ステーション/デミオ/湘南580わ4582</t>
  </si>
  <si>
    <t>横浜大岡一丁目ステーション/ﾜｺﾞﾝR/横浜580わ8615</t>
  </si>
  <si>
    <t>大和つきみ野ステーション/ノート/八王子501わ2157</t>
  </si>
  <si>
    <t>大和つきみ野ステーション/ノート/八王子501わ2156</t>
  </si>
  <si>
    <t>鎌倉富士見町駅前ステーション/ムーヴ/横浜580わ8707</t>
  </si>
  <si>
    <t>鎌倉富士見町駅前ステーション/デイズ/横浜580わ8690</t>
  </si>
  <si>
    <t>かしわ台駅前ステーション/パッソ/相模501わ9695</t>
  </si>
  <si>
    <t>座間駅前西口ステーション/ﾉｰﾄeﾊﾟﾜｰ/相模501わ9711</t>
  </si>
  <si>
    <t>座間駅前西口ステーション/ﾉｰﾄ/相模501わ9713</t>
  </si>
  <si>
    <t>梶ヶ谷二丁目ステーション/ノート/川崎501わ5673</t>
  </si>
  <si>
    <t>梶ヶ谷二丁目ステーション/パッソ/川崎501わ5726</t>
  </si>
  <si>
    <t>川崎子母口ステーション/ワゴンR/川崎580わ2184</t>
  </si>
  <si>
    <t>川崎子母口ステーション/ムーヴ/川崎580わ2187</t>
  </si>
  <si>
    <t>川崎明津第二ステーション/ヴィッツ/川崎501わ5727</t>
  </si>
  <si>
    <t>長後駅前東口ステーション/ムーヴ/湘南580わ4938</t>
  </si>
  <si>
    <t>京王稲田堤駅前ステーション/ﾉｰﾄeﾊﾟﾜｰ/川崎501わ5806</t>
  </si>
  <si>
    <t>京王稲田堤駅前ステーション/パッソ/川崎501わ5807</t>
  </si>
  <si>
    <t>相模大野駅前東口第2/ノート/相模501わ9904</t>
  </si>
  <si>
    <t>相模大野駅前東口第2/パッソ/相模501わ9906</t>
  </si>
  <si>
    <t>相模大野駅前東口第1/ムーヴ/相模580わ4316</t>
  </si>
  <si>
    <t>常盤平駅前北口ステーション/デイズ/松戸580わ748</t>
  </si>
  <si>
    <t>常盤平駅前北口ステーション/デイズ/松戸580わ767</t>
  </si>
  <si>
    <t>新松戸第三ステーション/デイズ/松戸580わ768</t>
  </si>
  <si>
    <t>新松戸第三ステーション/デイズ/松戸580わ747</t>
  </si>
  <si>
    <t>北小金駅前北口ステーション/ノート/松戸500わ1314</t>
  </si>
  <si>
    <t>北小金駅前北口ステーション/ノート/松戸500わ1316</t>
  </si>
  <si>
    <t>元山駅前西口ステーション/ノート/松戸500わ1315</t>
  </si>
  <si>
    <t>元山駅前西口ステーション/ノートeパワー/松戸500わ1313</t>
  </si>
  <si>
    <t>中神駅前北口ステーション/デイズ/多摩580わ5374</t>
  </si>
  <si>
    <t>中神駅前北口ステーション/デイズ/多摩580わ5321</t>
  </si>
  <si>
    <t>成瀬駅南口ステーション/ノートeパワー/多摩503わ844</t>
  </si>
  <si>
    <t>成瀬駅南口ステーション/ノート/多摩503わ845</t>
  </si>
  <si>
    <t>ログイン</t>
    <phoneticPr fontId="3"/>
  </si>
  <si>
    <r>
      <t>日付</t>
    </r>
    <r>
      <rPr>
        <sz val="11"/>
        <color rgb="FFFF0000"/>
        <rFont val="Meiryo UI"/>
        <family val="3"/>
        <charset val="128"/>
      </rPr>
      <t>（選択式/未来選択不可）</t>
    </r>
    <rPh sb="0" eb="2">
      <t>ヒヅケ</t>
    </rPh>
    <rPh sb="3" eb="5">
      <t>センタク</t>
    </rPh>
    <rPh sb="5" eb="6">
      <t>シキ</t>
    </rPh>
    <rPh sb="7" eb="9">
      <t>ミライ</t>
    </rPh>
    <rPh sb="9" eb="11">
      <t>センタク</t>
    </rPh>
    <rPh sb="11" eb="13">
      <t>フカ</t>
    </rPh>
    <phoneticPr fontId="3"/>
  </si>
  <si>
    <t>部門</t>
    <rPh sb="0" eb="2">
      <t>ブモン</t>
    </rPh>
    <phoneticPr fontId="3"/>
  </si>
  <si>
    <t>カーシェア</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</si>
</sst>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 &quot;¥&quot;* #,##0_ ;_ &quot;¥&quot;* \-#,##0_ ;_ &quot;¥&quot;* &quot;-&quot;_ ;_ @_ "/>
    <numFmt numFmtId="44" formatCode="_ &quot;¥&quot;* #,##0.00_ ;_ &quot;¥&quot;* \-#,##0.00_ ;_ &quot;¥&quot;* &quot;-&quot;??_ ;_ @_ "/>
  </numFmts>
  <fonts count="10" x14ac:knownFonts="1">
    <font>
      <sz val="11"/>
      <color theme="1"/>
      <name val="游ゴシック"/>
      <family val="2"/>
      <charset val="128"/>
      <scheme val="minor"/>
    </font>
    <font>
      <sz val="11"/>
      <color theme="1"/>
      <name val="游ゴシック"/>
      <family val="2"/>
      <charset val="128"/>
      <scheme val="minor"/>
    </font>
    <font>
      <sz val="11"/>
      <color theme="1"/>
      <name val="Meiryo UI"/>
      <family val="3"/>
      <charset val="128"/>
    </font>
    <font>
      <sz val="6"/>
      <name val="游ゴシック"/>
      <family val="2"/>
      <charset val="128"/>
      <scheme val="minor"/>
    </font>
    <font>
      <b/>
      <sz val="11"/>
      <color theme="1"/>
      <name val="Meiryo UI"/>
      <family val="3"/>
      <charset val="128"/>
    </font>
    <font>
      <sz val="11"/>
      <color theme="1"/>
      <name val="游ゴシック"/>
      <family val="2"/>
      <scheme val="minor"/>
    </font>
    <font>
      <sz val="11"/>
      <color rgb="FFFF0000"/>
      <name val="Meiryo UI"/>
      <family val="3"/>
      <charset val="128"/>
    </font>
    <font>
      <sz val="11"/>
      <name val="Meiryo UI"/>
      <family val="3"/>
      <charset val="128"/>
    </font>
    <font>
      <sz val="12"/>
      <color rgb="FF000000"/>
      <name val="ＭＳ 明朝"/>
      <family val="1"/>
      <charset val="128"/>
    </font>
    <font>
      <sz val="6"/>
      <name val="ＭＳ Ｐゴシック"/>
      <family val="3"/>
      <charset val="128"/>
    </font>
  </fonts>
  <fills count="2">
    <fill>
      <patternFill patternType="none"/>
    </fill>
    <fill>
      <patternFill patternType="gray125"/>
    </fill>
  </fills>
  <borders count="2">
    <border>
      <left/>
      <right/>
      <top/>
      <bottom/>
      <diagonal/>
    </border>
    <border>
      <left/>
      <right/>
      <top/>
      <bottom style="thin">
        <color indexed="64"/>
      </bottom>
      <diagonal/>
    </border>
  </borders>
  <cellStyleXfs count="4">
    <xf numFmtId="0" fontId="0" fillId="0" borderId="0">
      <alignment vertical="center"/>
    </xf>
    <xf numFmtId="0" fontId="5" fillId="0" borderId="0"/>
    <xf numFmtId="0" fontId="5" fillId="0" borderId="0"/>
    <xf numFmtId="38" fontId="5" fillId="0" borderId="0" applyFont="0" applyFill="0" applyBorder="0" applyAlignment="0" applyProtection="0">
      <alignment vertical="center"/>
    </xf>
  </cellStyleXfs>
  <cellXfs count="16">
    <xf numFmtId="0" fontId="0" fillId="0" borderId="0" xfId="0">
      <alignment vertical="center"/>
    </xf>
    <xf numFmtId="0" fontId="2" fillId="0" borderId="0" xfId="0" applyFont="1">
      <alignment vertical="center"/>
    </xf>
    <xf numFmtId="42" fontId="2" fillId="0" borderId="0" xfId="0" applyNumberFormat="1" applyFont="1">
      <alignment vertical="center"/>
    </xf>
    <xf numFmtId="0" fontId="4" fillId="0" borderId="0" xfId="0" applyFont="1">
      <alignment vertical="center"/>
    </xf>
    <xf numFmtId="0" fontId="6" fillId="0" borderId="0" xfId="0" applyFont="1">
      <alignment vertical="center"/>
    </xf>
    <xf numFmtId="0" fontId="7" fillId="0" borderId="0" xfId="0" applyFont="1">
      <alignment vertical="center"/>
    </xf>
    <xf numFmtId="0" fontId="2" fillId="0" borderId="1" xfId="0" applyFont="1" applyBorder="1">
      <alignment vertical="center"/>
    </xf>
    <xf numFmtId="49" fontId="2" fillId="0" borderId="0" xfId="0" applyNumberFormat="1" applyFont="1">
      <alignment vertical="center"/>
    </xf>
    <xf numFmtId="0" fontId="2" fillId="0" borderId="0" xfId="0" applyFont="1" applyAlignment="1">
      <alignment horizontal="left" vertical="center"/>
    </xf>
    <xf numFmtId="44" fontId="2" fillId="0" borderId="0" xfId="0" applyNumberFormat="1" applyFont="1">
      <alignment vertical="center"/>
    </xf>
    <xf numFmtId="0" fontId="7" fillId="0" borderId="0" xfId="0" applyFont="1" applyAlignment="1">
      <alignment horizontal="left" shrinkToFit="1"/>
    </xf>
    <xf numFmtId="44" fontId="2" fillId="0" borderId="0" xfId="0" applyNumberFormat="1" applyFont="1" applyAlignment="1">
      <alignment horizontal="left" vertical="center"/>
    </xf>
    <xf numFmtId="49" fontId="2" fillId="0" borderId="1" xfId="0" applyNumberFormat="1" applyFont="1" applyBorder="1">
      <alignment vertical="center"/>
    </xf>
    <xf numFmtId="49" fontId="2" fillId="0" borderId="0" xfId="0" applyNumberFormat="1" applyFont="1" applyAlignment="1">
      <alignment horizontal="left" vertical="center"/>
    </xf>
    <xf numFmtId="49" fontId="0" fillId="0" borderId="0" xfId="0" applyNumberFormat="1">
      <alignment vertical="center"/>
    </xf>
    <xf numFmtId="42" fontId="6" fillId="0" borderId="0" xfId="0" applyNumberFormat="1" applyFont="1">
      <alignment vertical="center"/>
    </xf>
  </cellXfs>
  <cellStyles count="4">
    <cellStyle name="桁区切り 2" xfId="3" xr:uid="{7611DBB5-A093-4CB4-B243-D62AB984BA6F}"/>
    <cellStyle name="標準" xfId="0" builtinId="0"/>
    <cellStyle name="標準 2" xfId="2" xr:uid="{55BC2981-C456-489E-B485-CE2C43B2A6F3}"/>
    <cellStyle name="標準 3" xfId="1" xr:uid="{6416181C-4E16-479B-97A7-8E04853F68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F884D-8478-4624-9D49-5E6DB84DB8F8}">
  <dimension ref="A2:L519"/>
  <sheetViews>
    <sheetView tabSelected="1" zoomScaleNormal="100" workbookViewId="0">
      <pane ySplit="3" topLeftCell="A6" activePane="bottomLeft" state="frozen"/>
      <selection activeCell="D1" sqref="D1"/>
      <selection pane="bottomLeft"/>
    </sheetView>
  </sheetViews>
  <sheetFormatPr defaultRowHeight="17.649999999999999" x14ac:dyDescent="0.7"/>
  <cols>
    <col min="1" max="1" width="19.9375" style="1" customWidth="1"/>
    <col min="2" max="3" width="28.8125" style="1" bestFit="1" customWidth="1"/>
    <col min="4" max="4" width="30.625" style="1" customWidth="1"/>
    <col min="5" max="5" width="37.1875" style="1" bestFit="1" customWidth="1"/>
    <col min="6" max="6" width="71.1875" style="1" bestFit="1" customWidth="1"/>
    <col min="7" max="7" width="31.6875" style="2" customWidth="1"/>
    <col min="8" max="8" width="31.5625" style="1" customWidth="1"/>
    <col min="9" max="9" width="17.3125" style="1" customWidth="1"/>
    <col min="10" max="10" width="168.8125" style="1" bestFit="1" customWidth="1"/>
    <col min="11" max="11" width="9" style="1"/>
    <col min="13" max="16384" width="9" style="1"/>
  </cols>
  <sheetData>
    <row r="2" spans="1:10" x14ac:dyDescent="0.7">
      <c r="G2" s="15" t="s">
        <v>631</v>
      </c>
    </row>
    <row r="3" spans="1:10" x14ac:dyDescent="0.7">
      <c r="A3" s="1" t="s">
        <v>1053</v>
      </c>
      <c r="B3" s="1" t="s">
        <v>1054</v>
      </c>
      <c r="C3" s="1" t="s">
        <v>1055</v>
      </c>
      <c r="D3" s="1" t="s">
        <v>264</v>
      </c>
      <c r="E3" s="1" t="s">
        <v>679</v>
      </c>
      <c r="F3" s="1" t="s">
        <v>587</v>
      </c>
      <c r="G3" s="1" t="s">
        <v>538</v>
      </c>
      <c r="H3" s="1" t="s">
        <v>539</v>
      </c>
      <c r="I3" s="1" t="s">
        <v>265</v>
      </c>
      <c r="J3" s="3" t="s">
        <v>113</v>
      </c>
    </row>
    <row r="4" spans="1:10" x14ac:dyDescent="0.7">
      <c r="C4" s="1" t="s">
        <v>1056</v>
      </c>
      <c r="D4" s="1" t="s">
        <v>678</v>
      </c>
      <c r="E4" s="1" t="s">
        <v>676</v>
      </c>
      <c r="F4" s="1" t="s">
        <v>466</v>
      </c>
      <c r="G4" s="9">
        <v>1450</v>
      </c>
      <c r="H4" s="9">
        <f>G4*1.1</f>
        <v>1595.0000000000002</v>
      </c>
    </row>
    <row r="5" spans="1:10" x14ac:dyDescent="0.7">
      <c r="D5" s="1" t="s">
        <v>678</v>
      </c>
      <c r="E5" s="1" t="s">
        <v>677</v>
      </c>
      <c r="F5" s="1" t="s">
        <v>466</v>
      </c>
      <c r="G5" s="9">
        <v>1450</v>
      </c>
      <c r="H5" s="9">
        <f>G5*1.1</f>
        <v>1595.0000000000002</v>
      </c>
    </row>
    <row r="6" spans="1:10" x14ac:dyDescent="0.7">
      <c r="C6" s="1" t="s">
        <v>1056</v>
      </c>
      <c r="D6" s="1" t="s">
        <v>683</v>
      </c>
      <c r="E6" s="1" t="s">
        <v>682</v>
      </c>
      <c r="F6" s="1" t="s">
        <v>673</v>
      </c>
      <c r="G6" s="9">
        <v>2000</v>
      </c>
      <c r="H6" s="9">
        <f t="shared" ref="H6:H80" si="0">G6*1.1</f>
        <v>2200</v>
      </c>
      <c r="J6" s="1" t="s">
        <v>313</v>
      </c>
    </row>
    <row r="7" spans="1:10" x14ac:dyDescent="0.7">
      <c r="F7" s="1" t="s">
        <v>680</v>
      </c>
      <c r="G7" s="9">
        <v>1000</v>
      </c>
      <c r="H7" s="9">
        <f t="shared" si="0"/>
        <v>1100</v>
      </c>
      <c r="J7" s="1" t="s">
        <v>326</v>
      </c>
    </row>
    <row r="8" spans="1:10" x14ac:dyDescent="0.7">
      <c r="F8" s="1" t="s">
        <v>681</v>
      </c>
      <c r="G8" s="9">
        <v>300</v>
      </c>
      <c r="H8" s="9">
        <f t="shared" si="0"/>
        <v>330</v>
      </c>
      <c r="J8" s="1" t="s">
        <v>326</v>
      </c>
    </row>
    <row r="9" spans="1:10" x14ac:dyDescent="0.7">
      <c r="F9" s="1" t="s">
        <v>685</v>
      </c>
      <c r="G9" s="9">
        <v>10000</v>
      </c>
      <c r="H9" s="9">
        <f t="shared" si="0"/>
        <v>11000</v>
      </c>
      <c r="J9" s="1" t="s">
        <v>326</v>
      </c>
    </row>
    <row r="10" spans="1:10" x14ac:dyDescent="0.7">
      <c r="F10" s="1" t="s">
        <v>686</v>
      </c>
      <c r="G10" s="9">
        <v>300</v>
      </c>
      <c r="H10" s="9">
        <f t="shared" si="0"/>
        <v>330</v>
      </c>
      <c r="J10" s="1" t="s">
        <v>326</v>
      </c>
    </row>
    <row r="11" spans="1:10" x14ac:dyDescent="0.7">
      <c r="F11" s="1" t="s">
        <v>687</v>
      </c>
      <c r="G11" s="9">
        <v>450</v>
      </c>
      <c r="H11" s="9">
        <f t="shared" si="0"/>
        <v>495.00000000000006</v>
      </c>
      <c r="J11" s="1" t="s">
        <v>326</v>
      </c>
    </row>
    <row r="12" spans="1:10" x14ac:dyDescent="0.7">
      <c r="F12" s="1" t="s">
        <v>688</v>
      </c>
      <c r="G12" s="9">
        <v>1000</v>
      </c>
      <c r="H12" s="9">
        <f t="shared" si="0"/>
        <v>1100</v>
      </c>
      <c r="J12" s="1" t="s">
        <v>326</v>
      </c>
    </row>
    <row r="13" spans="1:10" x14ac:dyDescent="0.7">
      <c r="F13" s="1" t="s">
        <v>689</v>
      </c>
      <c r="G13" s="9">
        <v>200</v>
      </c>
      <c r="H13" s="9">
        <f t="shared" si="0"/>
        <v>220.00000000000003</v>
      </c>
      <c r="J13" s="1" t="s">
        <v>326</v>
      </c>
    </row>
    <row r="14" spans="1:10" x14ac:dyDescent="0.7">
      <c r="F14" s="1" t="s">
        <v>935</v>
      </c>
      <c r="G14" s="9">
        <v>2300</v>
      </c>
      <c r="H14" s="9">
        <f t="shared" si="0"/>
        <v>2530</v>
      </c>
      <c r="J14" s="1" t="s">
        <v>938</v>
      </c>
    </row>
    <row r="15" spans="1:10" x14ac:dyDescent="0.7">
      <c r="F15" s="1" t="s">
        <v>936</v>
      </c>
      <c r="G15" s="9">
        <v>2300</v>
      </c>
      <c r="H15" s="9">
        <f t="shared" si="0"/>
        <v>2530</v>
      </c>
      <c r="J15" s="1" t="s">
        <v>326</v>
      </c>
    </row>
    <row r="16" spans="1:10" x14ac:dyDescent="0.7">
      <c r="F16" s="1" t="s">
        <v>937</v>
      </c>
      <c r="G16" s="9">
        <v>2300</v>
      </c>
      <c r="H16" s="9">
        <f t="shared" si="0"/>
        <v>2530</v>
      </c>
      <c r="J16" s="1" t="s">
        <v>326</v>
      </c>
    </row>
    <row r="17" spans="3:10" x14ac:dyDescent="0.7">
      <c r="F17" s="1" t="s">
        <v>940</v>
      </c>
      <c r="G17" s="9">
        <v>5000</v>
      </c>
      <c r="H17" s="9">
        <f t="shared" ref="H17:H19" si="1">G17*1.1</f>
        <v>5500</v>
      </c>
      <c r="J17" s="1" t="s">
        <v>310</v>
      </c>
    </row>
    <row r="18" spans="3:10" x14ac:dyDescent="0.7">
      <c r="F18" s="1" t="s">
        <v>939</v>
      </c>
      <c r="G18" s="9">
        <v>4000</v>
      </c>
      <c r="H18" s="9">
        <f t="shared" si="1"/>
        <v>4400</v>
      </c>
      <c r="J18" s="1" t="s">
        <v>310</v>
      </c>
    </row>
    <row r="19" spans="3:10" x14ac:dyDescent="0.7">
      <c r="F19" s="1" t="s">
        <v>311</v>
      </c>
      <c r="G19" s="9">
        <v>13000</v>
      </c>
      <c r="H19" s="9">
        <f t="shared" si="1"/>
        <v>14300.000000000002</v>
      </c>
      <c r="J19" s="1" t="s">
        <v>310</v>
      </c>
    </row>
    <row r="20" spans="3:10" x14ac:dyDescent="0.7">
      <c r="D20" s="1" t="s">
        <v>683</v>
      </c>
      <c r="E20" s="1" t="s">
        <v>684</v>
      </c>
      <c r="F20" s="1" t="s">
        <v>306</v>
      </c>
      <c r="G20" s="9">
        <v>2000</v>
      </c>
      <c r="H20" s="9">
        <f t="shared" si="0"/>
        <v>2200</v>
      </c>
    </row>
    <row r="21" spans="3:10" x14ac:dyDescent="0.7">
      <c r="F21" s="1" t="s">
        <v>309</v>
      </c>
      <c r="G21" s="9">
        <v>1000</v>
      </c>
      <c r="H21" s="9">
        <f t="shared" si="0"/>
        <v>1100</v>
      </c>
    </row>
    <row r="22" spans="3:10" x14ac:dyDescent="0.7">
      <c r="F22" s="1" t="s">
        <v>462</v>
      </c>
      <c r="G22" s="9">
        <v>450</v>
      </c>
      <c r="H22" s="9">
        <f t="shared" si="0"/>
        <v>495.00000000000006</v>
      </c>
    </row>
    <row r="23" spans="3:10" x14ac:dyDescent="0.7">
      <c r="F23" s="1" t="s">
        <v>307</v>
      </c>
      <c r="G23" s="9">
        <v>300</v>
      </c>
      <c r="H23" s="9">
        <f t="shared" si="0"/>
        <v>330</v>
      </c>
    </row>
    <row r="24" spans="3:10" x14ac:dyDescent="0.7">
      <c r="F24" s="1" t="s">
        <v>463</v>
      </c>
      <c r="G24" s="9">
        <v>300</v>
      </c>
      <c r="H24" s="9">
        <f t="shared" si="0"/>
        <v>330</v>
      </c>
    </row>
    <row r="25" spans="3:10" x14ac:dyDescent="0.7">
      <c r="F25" s="1" t="s">
        <v>464</v>
      </c>
      <c r="G25" s="9">
        <v>1000</v>
      </c>
      <c r="H25" s="9">
        <f t="shared" si="0"/>
        <v>1100</v>
      </c>
      <c r="J25" s="1" t="s">
        <v>465</v>
      </c>
    </row>
    <row r="26" spans="3:10" x14ac:dyDescent="0.7">
      <c r="F26" s="1" t="s">
        <v>302</v>
      </c>
      <c r="G26" s="9">
        <v>10000</v>
      </c>
      <c r="H26" s="9">
        <f t="shared" si="0"/>
        <v>11000</v>
      </c>
    </row>
    <row r="27" spans="3:10" x14ac:dyDescent="0.7">
      <c r="F27" s="1" t="s">
        <v>940</v>
      </c>
      <c r="G27" s="9">
        <v>5000</v>
      </c>
      <c r="H27" s="9">
        <f t="shared" si="0"/>
        <v>5500</v>
      </c>
      <c r="J27" s="1" t="s">
        <v>310</v>
      </c>
    </row>
    <row r="28" spans="3:10" x14ac:dyDescent="0.7">
      <c r="F28" s="1" t="s">
        <v>939</v>
      </c>
      <c r="G28" s="9">
        <v>4000</v>
      </c>
      <c r="H28" s="9">
        <f t="shared" si="0"/>
        <v>4400</v>
      </c>
      <c r="J28" s="1" t="s">
        <v>310</v>
      </c>
    </row>
    <row r="29" spans="3:10" x14ac:dyDescent="0.7">
      <c r="F29" s="1" t="s">
        <v>311</v>
      </c>
      <c r="G29" s="9">
        <v>13000</v>
      </c>
      <c r="H29" s="9">
        <f t="shared" si="0"/>
        <v>14300.000000000002</v>
      </c>
      <c r="J29" s="1" t="s">
        <v>310</v>
      </c>
    </row>
    <row r="30" spans="3:10" x14ac:dyDescent="0.7">
      <c r="C30" s="1" t="s">
        <v>1056</v>
      </c>
      <c r="D30" s="1" t="s">
        <v>6</v>
      </c>
      <c r="F30" s="1" t="s">
        <v>306</v>
      </c>
      <c r="G30" s="9">
        <v>2100</v>
      </c>
      <c r="H30" s="9">
        <f t="shared" si="0"/>
        <v>2310</v>
      </c>
    </row>
    <row r="31" spans="3:10" x14ac:dyDescent="0.7">
      <c r="F31" s="1" t="s">
        <v>308</v>
      </c>
      <c r="G31" s="9">
        <v>300</v>
      </c>
      <c r="H31" s="9">
        <f t="shared" si="0"/>
        <v>330</v>
      </c>
    </row>
    <row r="32" spans="3:10" x14ac:dyDescent="0.7">
      <c r="F32" s="1" t="s">
        <v>309</v>
      </c>
      <c r="G32" s="9">
        <v>1000</v>
      </c>
      <c r="H32" s="9">
        <f t="shared" si="0"/>
        <v>1100</v>
      </c>
    </row>
    <row r="33" spans="3:10" x14ac:dyDescent="0.7">
      <c r="F33" s="1" t="s">
        <v>940</v>
      </c>
      <c r="G33" s="9">
        <v>5000</v>
      </c>
      <c r="H33" s="9">
        <f t="shared" si="0"/>
        <v>5500</v>
      </c>
      <c r="J33" s="1" t="s">
        <v>310</v>
      </c>
    </row>
    <row r="34" spans="3:10" x14ac:dyDescent="0.7">
      <c r="F34" s="1" t="s">
        <v>939</v>
      </c>
      <c r="G34" s="9">
        <v>4000</v>
      </c>
      <c r="H34" s="9">
        <f t="shared" si="0"/>
        <v>4400</v>
      </c>
      <c r="J34" s="1" t="s">
        <v>310</v>
      </c>
    </row>
    <row r="35" spans="3:10" x14ac:dyDescent="0.7">
      <c r="F35" s="1" t="s">
        <v>311</v>
      </c>
      <c r="G35" s="9">
        <v>13000</v>
      </c>
      <c r="H35" s="9">
        <f t="shared" si="0"/>
        <v>14300.000000000002</v>
      </c>
      <c r="J35" s="1" t="s">
        <v>310</v>
      </c>
    </row>
    <row r="36" spans="3:10" x14ac:dyDescent="0.7">
      <c r="C36" s="1" t="s">
        <v>1056</v>
      </c>
      <c r="D36" s="1" t="s">
        <v>7</v>
      </c>
      <c r="F36" s="1" t="s">
        <v>70</v>
      </c>
      <c r="G36" s="9">
        <v>2500</v>
      </c>
      <c r="H36" s="9">
        <f t="shared" si="0"/>
        <v>2750</v>
      </c>
    </row>
    <row r="37" spans="3:10" x14ac:dyDescent="0.7">
      <c r="F37" s="1" t="s">
        <v>71</v>
      </c>
      <c r="G37" s="9">
        <v>1500</v>
      </c>
      <c r="H37" s="9">
        <f t="shared" si="0"/>
        <v>1650.0000000000002</v>
      </c>
    </row>
    <row r="38" spans="3:10" x14ac:dyDescent="0.7">
      <c r="C38" s="1" t="s">
        <v>1056</v>
      </c>
      <c r="D38" s="1" t="s">
        <v>8</v>
      </c>
      <c r="F38" s="1" t="s">
        <v>81</v>
      </c>
      <c r="G38" s="9">
        <v>2700</v>
      </c>
      <c r="H38" s="9">
        <f t="shared" si="0"/>
        <v>2970.0000000000005</v>
      </c>
      <c r="J38" s="1" t="s">
        <v>314</v>
      </c>
    </row>
    <row r="39" spans="3:10" x14ac:dyDescent="0.7">
      <c r="F39" s="1" t="s">
        <v>87</v>
      </c>
      <c r="G39" s="9">
        <v>1500</v>
      </c>
      <c r="H39" s="9">
        <f t="shared" si="0"/>
        <v>1650.0000000000002</v>
      </c>
    </row>
    <row r="40" spans="3:10" x14ac:dyDescent="0.7">
      <c r="F40" s="1" t="s">
        <v>88</v>
      </c>
      <c r="G40" s="9">
        <v>21000</v>
      </c>
      <c r="H40" s="9">
        <f t="shared" si="0"/>
        <v>23100.000000000004</v>
      </c>
    </row>
    <row r="41" spans="3:10" x14ac:dyDescent="0.7">
      <c r="F41" s="1" t="s">
        <v>89</v>
      </c>
      <c r="G41" s="9">
        <v>13000</v>
      </c>
      <c r="H41" s="9">
        <f t="shared" si="0"/>
        <v>14300.000000000002</v>
      </c>
    </row>
    <row r="42" spans="3:10" x14ac:dyDescent="0.7">
      <c r="F42" s="1" t="s">
        <v>90</v>
      </c>
      <c r="G42" s="9">
        <v>7000</v>
      </c>
      <c r="H42" s="9">
        <f t="shared" si="0"/>
        <v>7700.0000000000009</v>
      </c>
    </row>
    <row r="43" spans="3:10" x14ac:dyDescent="0.7">
      <c r="F43" s="1" t="s">
        <v>91</v>
      </c>
      <c r="G43" s="9">
        <v>5000</v>
      </c>
      <c r="H43" s="9">
        <f t="shared" si="0"/>
        <v>5500</v>
      </c>
    </row>
    <row r="44" spans="3:10" x14ac:dyDescent="0.7">
      <c r="F44" s="1" t="s">
        <v>92</v>
      </c>
      <c r="G44" s="9">
        <v>1500</v>
      </c>
      <c r="H44" s="9">
        <f t="shared" si="0"/>
        <v>1650.0000000000002</v>
      </c>
    </row>
    <row r="45" spans="3:10" x14ac:dyDescent="0.7">
      <c r="F45" s="1" t="s">
        <v>93</v>
      </c>
      <c r="G45" s="9">
        <v>750</v>
      </c>
      <c r="H45" s="9">
        <f t="shared" si="0"/>
        <v>825.00000000000011</v>
      </c>
    </row>
    <row r="46" spans="3:10" x14ac:dyDescent="0.7">
      <c r="F46" s="1" t="s">
        <v>94</v>
      </c>
      <c r="G46" s="9">
        <v>1200</v>
      </c>
      <c r="H46" s="9">
        <f t="shared" si="0"/>
        <v>1320</v>
      </c>
    </row>
    <row r="47" spans="3:10" x14ac:dyDescent="0.7">
      <c r="F47" s="1" t="s">
        <v>95</v>
      </c>
      <c r="G47" s="9">
        <v>600</v>
      </c>
      <c r="H47" s="9">
        <f t="shared" si="0"/>
        <v>660</v>
      </c>
    </row>
    <row r="48" spans="3:10" x14ac:dyDescent="0.7">
      <c r="F48" s="1" t="s">
        <v>96</v>
      </c>
      <c r="G48" s="9">
        <v>1150</v>
      </c>
      <c r="H48" s="9">
        <f t="shared" si="0"/>
        <v>1265</v>
      </c>
    </row>
    <row r="49" spans="3:10" x14ac:dyDescent="0.7">
      <c r="F49" s="1" t="s">
        <v>97</v>
      </c>
      <c r="G49" s="9">
        <v>2500</v>
      </c>
      <c r="H49" s="9">
        <f t="shared" si="0"/>
        <v>2750</v>
      </c>
    </row>
    <row r="50" spans="3:10" x14ac:dyDescent="0.7">
      <c r="F50" s="1" t="s">
        <v>98</v>
      </c>
      <c r="G50" s="9">
        <v>4800</v>
      </c>
      <c r="H50" s="9">
        <f t="shared" si="0"/>
        <v>5280</v>
      </c>
    </row>
    <row r="51" spans="3:10" x14ac:dyDescent="0.7">
      <c r="F51" s="1" t="s">
        <v>99</v>
      </c>
      <c r="G51" s="9">
        <v>10000</v>
      </c>
      <c r="H51" s="9">
        <f t="shared" si="0"/>
        <v>11000</v>
      </c>
    </row>
    <row r="52" spans="3:10" x14ac:dyDescent="0.7">
      <c r="F52" s="1" t="s">
        <v>85</v>
      </c>
      <c r="G52" s="9">
        <v>2300</v>
      </c>
      <c r="H52" s="9">
        <f t="shared" si="0"/>
        <v>2530</v>
      </c>
    </row>
    <row r="53" spans="3:10" x14ac:dyDescent="0.7">
      <c r="F53" s="1" t="s">
        <v>86</v>
      </c>
      <c r="G53" s="9">
        <v>2300</v>
      </c>
      <c r="H53" s="9">
        <f t="shared" si="0"/>
        <v>2530</v>
      </c>
    </row>
    <row r="54" spans="3:10" x14ac:dyDescent="0.7">
      <c r="C54" s="1" t="s">
        <v>1056</v>
      </c>
      <c r="D54" s="1" t="s">
        <v>691</v>
      </c>
      <c r="E54" s="1" t="s">
        <v>690</v>
      </c>
      <c r="F54" s="1" t="s">
        <v>312</v>
      </c>
      <c r="G54" s="9">
        <v>2500</v>
      </c>
      <c r="H54" s="9">
        <f t="shared" si="0"/>
        <v>2750</v>
      </c>
      <c r="J54" s="1" t="s">
        <v>313</v>
      </c>
    </row>
    <row r="55" spans="3:10" x14ac:dyDescent="0.7">
      <c r="F55" s="1" t="s">
        <v>278</v>
      </c>
      <c r="G55" s="9">
        <v>2500</v>
      </c>
      <c r="H55" s="9">
        <f t="shared" si="0"/>
        <v>2750</v>
      </c>
      <c r="J55" s="1" t="s">
        <v>326</v>
      </c>
    </row>
    <row r="56" spans="3:10" x14ac:dyDescent="0.7">
      <c r="F56" s="1" t="s">
        <v>315</v>
      </c>
      <c r="G56" s="9">
        <v>100</v>
      </c>
      <c r="H56" s="9">
        <f t="shared" si="0"/>
        <v>110.00000000000001</v>
      </c>
      <c r="J56" s="1" t="s">
        <v>326</v>
      </c>
    </row>
    <row r="57" spans="3:10" x14ac:dyDescent="0.7">
      <c r="F57" s="1" t="s">
        <v>316</v>
      </c>
      <c r="G57" s="9">
        <v>1500</v>
      </c>
      <c r="H57" s="9">
        <f t="shared" si="0"/>
        <v>1650.0000000000002</v>
      </c>
      <c r="J57" s="1" t="s">
        <v>326</v>
      </c>
    </row>
    <row r="58" spans="3:10" x14ac:dyDescent="0.7">
      <c r="F58" s="1" t="s">
        <v>317</v>
      </c>
      <c r="G58" s="9">
        <v>750</v>
      </c>
      <c r="H58" s="9">
        <f t="shared" si="0"/>
        <v>825.00000000000011</v>
      </c>
      <c r="J58" s="1" t="s">
        <v>326</v>
      </c>
    </row>
    <row r="59" spans="3:10" x14ac:dyDescent="0.7">
      <c r="F59" s="1" t="s">
        <v>330</v>
      </c>
      <c r="G59" s="9">
        <v>1150</v>
      </c>
      <c r="H59" s="9">
        <f t="shared" si="0"/>
        <v>1265</v>
      </c>
      <c r="J59" s="1" t="s">
        <v>326</v>
      </c>
    </row>
    <row r="60" spans="3:10" x14ac:dyDescent="0.7">
      <c r="F60" s="1" t="s">
        <v>305</v>
      </c>
      <c r="G60" s="9">
        <v>2500</v>
      </c>
      <c r="H60" s="9">
        <f t="shared" si="0"/>
        <v>2750</v>
      </c>
      <c r="J60" s="1" t="s">
        <v>326</v>
      </c>
    </row>
    <row r="61" spans="3:10" x14ac:dyDescent="0.7">
      <c r="F61" s="1" t="s">
        <v>331</v>
      </c>
      <c r="G61" s="9">
        <v>4800</v>
      </c>
      <c r="H61" s="9">
        <f t="shared" si="0"/>
        <v>5280</v>
      </c>
      <c r="J61" s="1" t="s">
        <v>326</v>
      </c>
    </row>
    <row r="62" spans="3:10" x14ac:dyDescent="0.7">
      <c r="F62" s="1" t="s">
        <v>327</v>
      </c>
      <c r="G62" s="9">
        <v>7000</v>
      </c>
      <c r="H62" s="9">
        <f t="shared" si="0"/>
        <v>7700.0000000000009</v>
      </c>
      <c r="J62" s="1" t="s">
        <v>326</v>
      </c>
    </row>
    <row r="63" spans="3:10" x14ac:dyDescent="0.7">
      <c r="F63" s="1" t="s">
        <v>328</v>
      </c>
      <c r="G63" s="9">
        <v>5000</v>
      </c>
      <c r="H63" s="9">
        <f t="shared" si="0"/>
        <v>5500</v>
      </c>
      <c r="J63" s="1" t="s">
        <v>326</v>
      </c>
    </row>
    <row r="64" spans="3:10" x14ac:dyDescent="0.7">
      <c r="F64" s="1" t="s">
        <v>318</v>
      </c>
      <c r="G64" s="9">
        <v>1050</v>
      </c>
      <c r="H64" s="9">
        <f t="shared" si="0"/>
        <v>1155</v>
      </c>
      <c r="J64" s="1" t="s">
        <v>329</v>
      </c>
    </row>
    <row r="65" spans="5:10" x14ac:dyDescent="0.7">
      <c r="F65" s="1" t="s">
        <v>319</v>
      </c>
      <c r="G65" s="9">
        <v>1500</v>
      </c>
      <c r="H65" s="9">
        <f t="shared" si="0"/>
        <v>1650.0000000000002</v>
      </c>
      <c r="J65" s="1" t="s">
        <v>326</v>
      </c>
    </row>
    <row r="66" spans="5:10" x14ac:dyDescent="0.7">
      <c r="F66" s="1" t="s">
        <v>320</v>
      </c>
      <c r="G66" s="9">
        <v>3450</v>
      </c>
      <c r="H66" s="9">
        <f t="shared" si="0"/>
        <v>3795.0000000000005</v>
      </c>
      <c r="J66" s="1" t="s">
        <v>326</v>
      </c>
    </row>
    <row r="67" spans="5:10" x14ac:dyDescent="0.7">
      <c r="F67" s="1" t="s">
        <v>321</v>
      </c>
      <c r="G67" s="9">
        <v>2150</v>
      </c>
      <c r="H67" s="9">
        <f t="shared" si="0"/>
        <v>2365</v>
      </c>
      <c r="J67" s="1" t="s">
        <v>326</v>
      </c>
    </row>
    <row r="68" spans="5:10" x14ac:dyDescent="0.7">
      <c r="F68" s="1" t="s">
        <v>322</v>
      </c>
      <c r="G68" s="9">
        <v>2150</v>
      </c>
      <c r="H68" s="9">
        <f t="shared" si="0"/>
        <v>2365</v>
      </c>
      <c r="J68" s="1" t="s">
        <v>326</v>
      </c>
    </row>
    <row r="69" spans="5:10" x14ac:dyDescent="0.7">
      <c r="F69" s="1" t="s">
        <v>323</v>
      </c>
      <c r="G69" s="9">
        <v>840</v>
      </c>
      <c r="H69" s="9">
        <f t="shared" si="0"/>
        <v>924.00000000000011</v>
      </c>
      <c r="J69" s="1" t="s">
        <v>326</v>
      </c>
    </row>
    <row r="70" spans="5:10" x14ac:dyDescent="0.7">
      <c r="F70" s="1" t="s">
        <v>324</v>
      </c>
      <c r="G70" s="9">
        <v>1162</v>
      </c>
      <c r="H70" s="9">
        <f t="shared" si="0"/>
        <v>1278.2</v>
      </c>
      <c r="J70" s="1" t="s">
        <v>326</v>
      </c>
    </row>
    <row r="71" spans="5:10" x14ac:dyDescent="0.7">
      <c r="F71" s="1" t="s">
        <v>325</v>
      </c>
      <c r="G71" s="9">
        <v>7000</v>
      </c>
      <c r="H71" s="9">
        <f t="shared" si="0"/>
        <v>7700.0000000000009</v>
      </c>
      <c r="J71" s="1" t="s">
        <v>326</v>
      </c>
    </row>
    <row r="72" spans="5:10" x14ac:dyDescent="0.7">
      <c r="E72" s="1" t="s">
        <v>692</v>
      </c>
      <c r="F72" s="1" t="s">
        <v>456</v>
      </c>
      <c r="G72" s="9">
        <v>2500</v>
      </c>
      <c r="H72" s="9">
        <f t="shared" si="0"/>
        <v>2750</v>
      </c>
      <c r="J72" s="1" t="s">
        <v>313</v>
      </c>
    </row>
    <row r="73" spans="5:10" x14ac:dyDescent="0.7">
      <c r="F73" s="1" t="s">
        <v>315</v>
      </c>
      <c r="G73" s="9">
        <v>100</v>
      </c>
      <c r="H73" s="9">
        <f t="shared" si="0"/>
        <v>110.00000000000001</v>
      </c>
      <c r="J73" s="1" t="s">
        <v>326</v>
      </c>
    </row>
    <row r="74" spans="5:10" x14ac:dyDescent="0.7">
      <c r="F74" s="1" t="s">
        <v>316</v>
      </c>
      <c r="G74" s="9">
        <v>1500</v>
      </c>
      <c r="H74" s="9">
        <f t="shared" si="0"/>
        <v>1650.0000000000002</v>
      </c>
      <c r="J74" s="1" t="s">
        <v>326</v>
      </c>
    </row>
    <row r="75" spans="5:10" x14ac:dyDescent="0.7">
      <c r="F75" s="1" t="s">
        <v>317</v>
      </c>
      <c r="G75" s="9">
        <v>750</v>
      </c>
      <c r="H75" s="9">
        <f t="shared" si="0"/>
        <v>825.00000000000011</v>
      </c>
      <c r="J75" s="1" t="s">
        <v>326</v>
      </c>
    </row>
    <row r="76" spans="5:10" x14ac:dyDescent="0.7">
      <c r="F76" s="1" t="s">
        <v>330</v>
      </c>
      <c r="G76" s="9">
        <v>1150</v>
      </c>
      <c r="H76" s="9">
        <f t="shared" si="0"/>
        <v>1265</v>
      </c>
      <c r="J76" s="1" t="s">
        <v>326</v>
      </c>
    </row>
    <row r="77" spans="5:10" x14ac:dyDescent="0.7">
      <c r="F77" s="1" t="s">
        <v>305</v>
      </c>
      <c r="G77" s="9">
        <v>2500</v>
      </c>
      <c r="H77" s="9">
        <f t="shared" si="0"/>
        <v>2750</v>
      </c>
      <c r="J77" s="1" t="s">
        <v>326</v>
      </c>
    </row>
    <row r="78" spans="5:10" x14ac:dyDescent="0.7">
      <c r="F78" s="1" t="s">
        <v>331</v>
      </c>
      <c r="G78" s="9">
        <v>4800</v>
      </c>
      <c r="H78" s="9">
        <f t="shared" si="0"/>
        <v>5280</v>
      </c>
      <c r="J78" s="1" t="s">
        <v>326</v>
      </c>
    </row>
    <row r="79" spans="5:10" x14ac:dyDescent="0.7">
      <c r="F79" s="1" t="s">
        <v>327</v>
      </c>
      <c r="G79" s="9">
        <v>7000</v>
      </c>
      <c r="H79" s="9">
        <f t="shared" si="0"/>
        <v>7700.0000000000009</v>
      </c>
      <c r="J79" s="1" t="s">
        <v>326</v>
      </c>
    </row>
    <row r="80" spans="5:10" x14ac:dyDescent="0.7">
      <c r="F80" s="1" t="s">
        <v>328</v>
      </c>
      <c r="G80" s="9">
        <v>5000</v>
      </c>
      <c r="H80" s="9">
        <f t="shared" si="0"/>
        <v>5500</v>
      </c>
      <c r="J80" s="1" t="s">
        <v>326</v>
      </c>
    </row>
    <row r="81" spans="3:10" x14ac:dyDescent="0.7">
      <c r="C81" s="1" t="s">
        <v>1056</v>
      </c>
      <c r="D81" s="1" t="s">
        <v>12</v>
      </c>
      <c r="F81" s="1" t="s">
        <v>279</v>
      </c>
      <c r="G81" s="9">
        <v>2200</v>
      </c>
      <c r="H81" s="9">
        <f t="shared" ref="H81:H154" si="2">G81*1.1</f>
        <v>2420</v>
      </c>
    </row>
    <row r="82" spans="3:10" x14ac:dyDescent="0.7">
      <c r="F82" s="1" t="s">
        <v>280</v>
      </c>
      <c r="G82" s="9">
        <v>1800</v>
      </c>
      <c r="H82" s="9">
        <f t="shared" si="2"/>
        <v>1980.0000000000002</v>
      </c>
    </row>
    <row r="83" spans="3:10" x14ac:dyDescent="0.7">
      <c r="F83" s="1" t="s">
        <v>278</v>
      </c>
      <c r="G83" s="9">
        <v>2200</v>
      </c>
      <c r="H83" s="9">
        <f t="shared" si="2"/>
        <v>2420</v>
      </c>
    </row>
    <row r="84" spans="3:10" x14ac:dyDescent="0.7">
      <c r="F84" s="1" t="s">
        <v>282</v>
      </c>
      <c r="G84" s="9">
        <v>100</v>
      </c>
      <c r="H84" s="9">
        <f t="shared" si="2"/>
        <v>110.00000000000001</v>
      </c>
    </row>
    <row r="85" spans="3:10" x14ac:dyDescent="0.7">
      <c r="F85" s="1" t="s">
        <v>283</v>
      </c>
      <c r="G85" s="9">
        <v>1200</v>
      </c>
      <c r="H85" s="9">
        <f t="shared" si="2"/>
        <v>1320</v>
      </c>
      <c r="J85" s="1" t="s">
        <v>284</v>
      </c>
    </row>
    <row r="86" spans="3:10" x14ac:dyDescent="0.7">
      <c r="F86" s="1" t="s">
        <v>303</v>
      </c>
      <c r="G86" s="9">
        <v>2000</v>
      </c>
      <c r="H86" s="9">
        <f t="shared" si="2"/>
        <v>2200</v>
      </c>
    </row>
    <row r="87" spans="3:10" x14ac:dyDescent="0.7">
      <c r="F87" s="1" t="s">
        <v>302</v>
      </c>
      <c r="G87" s="9">
        <v>10000</v>
      </c>
      <c r="H87" s="9">
        <f t="shared" si="2"/>
        <v>11000</v>
      </c>
    </row>
    <row r="88" spans="3:10" x14ac:dyDescent="0.7">
      <c r="F88" s="1" t="s">
        <v>296</v>
      </c>
      <c r="G88" s="9">
        <v>1000</v>
      </c>
      <c r="H88" s="9">
        <f t="shared" si="2"/>
        <v>1100</v>
      </c>
    </row>
    <row r="89" spans="3:10" x14ac:dyDescent="0.7">
      <c r="F89" s="1" t="s">
        <v>297</v>
      </c>
      <c r="G89" s="9">
        <v>750</v>
      </c>
      <c r="H89" s="9">
        <f t="shared" si="2"/>
        <v>825.00000000000011</v>
      </c>
    </row>
    <row r="90" spans="3:10" x14ac:dyDescent="0.7">
      <c r="F90" s="1" t="s">
        <v>298</v>
      </c>
      <c r="G90" s="9">
        <v>500</v>
      </c>
      <c r="H90" s="9">
        <f t="shared" si="2"/>
        <v>550</v>
      </c>
    </row>
    <row r="91" spans="3:10" x14ac:dyDescent="0.7">
      <c r="F91" s="1" t="s">
        <v>299</v>
      </c>
      <c r="G91" s="9">
        <v>1000</v>
      </c>
      <c r="H91" s="9">
        <f t="shared" si="2"/>
        <v>1100</v>
      </c>
    </row>
    <row r="92" spans="3:10" x14ac:dyDescent="0.7">
      <c r="F92" s="1" t="s">
        <v>300</v>
      </c>
      <c r="G92" s="9">
        <v>750</v>
      </c>
      <c r="H92" s="9">
        <f t="shared" si="2"/>
        <v>825.00000000000011</v>
      </c>
    </row>
    <row r="93" spans="3:10" x14ac:dyDescent="0.7">
      <c r="F93" s="1" t="s">
        <v>301</v>
      </c>
      <c r="G93" s="9">
        <v>500</v>
      </c>
      <c r="H93" s="9">
        <f t="shared" si="2"/>
        <v>550</v>
      </c>
    </row>
    <row r="94" spans="3:10" x14ac:dyDescent="0.7">
      <c r="F94" s="1" t="s">
        <v>304</v>
      </c>
      <c r="G94" s="9">
        <v>1150</v>
      </c>
      <c r="H94" s="9">
        <f t="shared" si="2"/>
        <v>1265</v>
      </c>
    </row>
    <row r="95" spans="3:10" x14ac:dyDescent="0.7">
      <c r="F95" s="1" t="s">
        <v>305</v>
      </c>
      <c r="G95" s="9">
        <v>2500</v>
      </c>
      <c r="H95" s="9">
        <f t="shared" si="2"/>
        <v>2750</v>
      </c>
    </row>
    <row r="96" spans="3:10" x14ac:dyDescent="0.7">
      <c r="F96" s="1" t="s">
        <v>289</v>
      </c>
      <c r="G96" s="9">
        <v>500</v>
      </c>
      <c r="H96" s="9">
        <f t="shared" si="2"/>
        <v>550</v>
      </c>
    </row>
    <row r="97" spans="3:10" x14ac:dyDescent="0.7">
      <c r="F97" s="1" t="s">
        <v>290</v>
      </c>
      <c r="G97" s="9">
        <v>500</v>
      </c>
      <c r="H97" s="9">
        <f t="shared" si="2"/>
        <v>550</v>
      </c>
    </row>
    <row r="98" spans="3:10" x14ac:dyDescent="0.7">
      <c r="F98" s="1" t="s">
        <v>291</v>
      </c>
      <c r="G98" s="9">
        <v>1000</v>
      </c>
      <c r="H98" s="9">
        <f t="shared" si="2"/>
        <v>1100</v>
      </c>
    </row>
    <row r="99" spans="3:10" x14ac:dyDescent="0.7">
      <c r="F99" s="1" t="s">
        <v>286</v>
      </c>
      <c r="G99" s="9">
        <v>1500</v>
      </c>
      <c r="H99" s="9">
        <f t="shared" si="2"/>
        <v>1650.0000000000002</v>
      </c>
    </row>
    <row r="100" spans="3:10" x14ac:dyDescent="0.7">
      <c r="F100" s="1" t="s">
        <v>292</v>
      </c>
      <c r="G100" s="9">
        <v>1500</v>
      </c>
      <c r="H100" s="9">
        <f t="shared" si="2"/>
        <v>1650.0000000000002</v>
      </c>
    </row>
    <row r="101" spans="3:10" x14ac:dyDescent="0.7">
      <c r="F101" s="1" t="s">
        <v>293</v>
      </c>
      <c r="G101" s="9">
        <v>1500</v>
      </c>
      <c r="H101" s="9">
        <f t="shared" si="2"/>
        <v>1650.0000000000002</v>
      </c>
    </row>
    <row r="102" spans="3:10" x14ac:dyDescent="0.7">
      <c r="F102" s="1" t="s">
        <v>294</v>
      </c>
      <c r="G102" s="9">
        <v>1500</v>
      </c>
      <c r="H102" s="9">
        <f t="shared" si="2"/>
        <v>1650.0000000000002</v>
      </c>
    </row>
    <row r="103" spans="3:10" x14ac:dyDescent="0.7">
      <c r="F103" s="1" t="s">
        <v>287</v>
      </c>
      <c r="G103" s="9">
        <v>1000</v>
      </c>
      <c r="H103" s="9">
        <f t="shared" si="2"/>
        <v>1100</v>
      </c>
    </row>
    <row r="104" spans="3:10" x14ac:dyDescent="0.7">
      <c r="F104" s="1" t="s">
        <v>288</v>
      </c>
      <c r="G104" s="9">
        <v>1000</v>
      </c>
      <c r="H104" s="9">
        <f t="shared" si="2"/>
        <v>1100</v>
      </c>
    </row>
    <row r="105" spans="3:10" x14ac:dyDescent="0.7">
      <c r="F105" s="1" t="s">
        <v>281</v>
      </c>
      <c r="G105" s="9">
        <v>100</v>
      </c>
      <c r="H105" s="9">
        <f t="shared" si="2"/>
        <v>110.00000000000001</v>
      </c>
    </row>
    <row r="106" spans="3:10" x14ac:dyDescent="0.7">
      <c r="F106" s="1" t="s">
        <v>295</v>
      </c>
      <c r="G106" s="9">
        <v>500</v>
      </c>
      <c r="H106" s="9">
        <f t="shared" si="2"/>
        <v>550</v>
      </c>
    </row>
    <row r="107" spans="3:10" x14ac:dyDescent="0.7">
      <c r="C107" s="1" t="s">
        <v>1056</v>
      </c>
      <c r="D107" s="1" t="s">
        <v>492</v>
      </c>
      <c r="F107" s="1" t="s">
        <v>493</v>
      </c>
      <c r="G107" s="9">
        <v>2970</v>
      </c>
      <c r="H107" s="9">
        <f t="shared" si="2"/>
        <v>3267.0000000000005</v>
      </c>
      <c r="J107" s="1" t="s">
        <v>498</v>
      </c>
    </row>
    <row r="108" spans="3:10" x14ac:dyDescent="0.7">
      <c r="C108" s="1" t="s">
        <v>1056</v>
      </c>
      <c r="D108" s="1" t="s">
        <v>943</v>
      </c>
      <c r="F108" s="1" t="s">
        <v>955</v>
      </c>
      <c r="G108" s="9">
        <v>2300</v>
      </c>
      <c r="H108" s="9">
        <f t="shared" si="2"/>
        <v>2530</v>
      </c>
    </row>
    <row r="109" spans="3:10" x14ac:dyDescent="0.7">
      <c r="F109" s="1" t="s">
        <v>954</v>
      </c>
      <c r="G109" s="9">
        <v>3500</v>
      </c>
      <c r="H109" s="9">
        <f t="shared" si="2"/>
        <v>3850.0000000000005</v>
      </c>
      <c r="J109" s="1" t="s">
        <v>498</v>
      </c>
    </row>
    <row r="110" spans="3:10" x14ac:dyDescent="0.7">
      <c r="F110" s="1" t="s">
        <v>944</v>
      </c>
      <c r="G110" s="9">
        <v>300</v>
      </c>
      <c r="H110" s="9">
        <f t="shared" si="2"/>
        <v>330</v>
      </c>
      <c r="J110" s="1" t="s">
        <v>326</v>
      </c>
    </row>
    <row r="111" spans="3:10" x14ac:dyDescent="0.7">
      <c r="F111" s="1" t="s">
        <v>945</v>
      </c>
      <c r="G111" s="9">
        <v>2600</v>
      </c>
      <c r="H111" s="9">
        <f t="shared" si="2"/>
        <v>2860.0000000000005</v>
      </c>
      <c r="J111" s="1" t="s">
        <v>326</v>
      </c>
    </row>
    <row r="112" spans="3:10" x14ac:dyDescent="0.7">
      <c r="F112" s="1" t="s">
        <v>946</v>
      </c>
      <c r="G112" s="9">
        <v>6000</v>
      </c>
      <c r="H112" s="9">
        <f t="shared" si="2"/>
        <v>6600.0000000000009</v>
      </c>
      <c r="J112" s="1" t="s">
        <v>326</v>
      </c>
    </row>
    <row r="113" spans="3:12" ht="15" x14ac:dyDescent="0.7">
      <c r="C113" s="1" t="s">
        <v>1056</v>
      </c>
      <c r="D113" s="1" t="s">
        <v>41</v>
      </c>
      <c r="F113" s="1" t="s">
        <v>501</v>
      </c>
      <c r="G113" s="9">
        <v>2600</v>
      </c>
      <c r="H113" s="9">
        <f t="shared" si="2"/>
        <v>2860.0000000000005</v>
      </c>
      <c r="J113" s="1" t="s">
        <v>506</v>
      </c>
      <c r="L113" s="1"/>
    </row>
    <row r="114" spans="3:12" ht="15" x14ac:dyDescent="0.7">
      <c r="F114" s="1" t="s">
        <v>508</v>
      </c>
      <c r="G114" s="9">
        <v>300</v>
      </c>
      <c r="H114" s="9">
        <f t="shared" si="2"/>
        <v>330</v>
      </c>
      <c r="J114" s="1" t="s">
        <v>326</v>
      </c>
      <c r="L114" s="1"/>
    </row>
    <row r="115" spans="3:12" ht="15" x14ac:dyDescent="0.7">
      <c r="F115" s="1" t="s">
        <v>507</v>
      </c>
      <c r="G115" s="9">
        <v>10000</v>
      </c>
      <c r="H115" s="9">
        <f t="shared" si="2"/>
        <v>11000</v>
      </c>
      <c r="J115" s="1" t="s">
        <v>326</v>
      </c>
      <c r="L115" s="1"/>
    </row>
    <row r="116" spans="3:12" ht="15" x14ac:dyDescent="0.7">
      <c r="F116" s="1" t="s">
        <v>509</v>
      </c>
      <c r="G116" s="9">
        <v>1500</v>
      </c>
      <c r="H116" s="9">
        <f t="shared" si="2"/>
        <v>1650.0000000000002</v>
      </c>
      <c r="J116" s="1" t="s">
        <v>326</v>
      </c>
      <c r="L116" s="1"/>
    </row>
    <row r="117" spans="3:12" ht="15" x14ac:dyDescent="0.7">
      <c r="F117" s="1" t="s">
        <v>510</v>
      </c>
      <c r="G117" s="9">
        <v>750</v>
      </c>
      <c r="H117" s="9">
        <f t="shared" si="2"/>
        <v>825.00000000000011</v>
      </c>
      <c r="J117" s="1" t="s">
        <v>326</v>
      </c>
      <c r="L117" s="1"/>
    </row>
    <row r="118" spans="3:12" ht="15" x14ac:dyDescent="0.7">
      <c r="F118" s="1" t="s">
        <v>511</v>
      </c>
      <c r="G118" s="9">
        <v>1200</v>
      </c>
      <c r="H118" s="9">
        <f t="shared" si="2"/>
        <v>1320</v>
      </c>
      <c r="J118" s="1" t="s">
        <v>326</v>
      </c>
      <c r="L118" s="1"/>
    </row>
    <row r="119" spans="3:12" ht="15" x14ac:dyDescent="0.7">
      <c r="F119" s="1" t="s">
        <v>512</v>
      </c>
      <c r="G119" s="9">
        <v>600</v>
      </c>
      <c r="H119" s="9">
        <f t="shared" si="2"/>
        <v>660</v>
      </c>
      <c r="J119" s="1" t="s">
        <v>326</v>
      </c>
      <c r="L119" s="1"/>
    </row>
    <row r="120" spans="3:12" ht="15" x14ac:dyDescent="0.7">
      <c r="F120" s="1" t="s">
        <v>513</v>
      </c>
      <c r="G120" s="9">
        <v>8000</v>
      </c>
      <c r="H120" s="9">
        <f t="shared" si="2"/>
        <v>8800</v>
      </c>
      <c r="J120" s="1" t="s">
        <v>326</v>
      </c>
      <c r="L120" s="1"/>
    </row>
    <row r="121" spans="3:12" ht="15" x14ac:dyDescent="0.7">
      <c r="F121" s="1" t="s">
        <v>514</v>
      </c>
      <c r="G121" s="9">
        <v>5000</v>
      </c>
      <c r="H121" s="9">
        <f t="shared" si="2"/>
        <v>5500</v>
      </c>
      <c r="J121" s="1" t="s">
        <v>326</v>
      </c>
      <c r="L121" s="1"/>
    </row>
    <row r="122" spans="3:12" ht="15" x14ac:dyDescent="0.7">
      <c r="F122" s="1" t="s">
        <v>515</v>
      </c>
      <c r="G122" s="9">
        <v>4000</v>
      </c>
      <c r="H122" s="9">
        <f t="shared" si="2"/>
        <v>4400</v>
      </c>
      <c r="J122" s="1" t="s">
        <v>326</v>
      </c>
      <c r="L122" s="1"/>
    </row>
    <row r="123" spans="3:12" ht="15" x14ac:dyDescent="0.7">
      <c r="F123" s="1" t="s">
        <v>96</v>
      </c>
      <c r="G123" s="9">
        <v>1150</v>
      </c>
      <c r="H123" s="9">
        <f t="shared" si="2"/>
        <v>1265</v>
      </c>
      <c r="J123" s="1" t="s">
        <v>326</v>
      </c>
      <c r="L123" s="1"/>
    </row>
    <row r="124" spans="3:12" ht="15" x14ac:dyDescent="0.7">
      <c r="F124" s="1" t="s">
        <v>516</v>
      </c>
      <c r="G124" s="9">
        <v>2300</v>
      </c>
      <c r="H124" s="9">
        <f t="shared" si="2"/>
        <v>2530</v>
      </c>
      <c r="J124" s="1" t="s">
        <v>326</v>
      </c>
      <c r="L124" s="1"/>
    </row>
    <row r="125" spans="3:12" ht="15" x14ac:dyDescent="0.7">
      <c r="F125" s="1" t="s">
        <v>517</v>
      </c>
      <c r="G125" s="9">
        <v>4800</v>
      </c>
      <c r="H125" s="9">
        <f t="shared" si="2"/>
        <v>5280</v>
      </c>
      <c r="J125" s="1" t="s">
        <v>326</v>
      </c>
      <c r="L125" s="1"/>
    </row>
    <row r="126" spans="3:12" ht="15" x14ac:dyDescent="0.7">
      <c r="F126" s="1" t="s">
        <v>518</v>
      </c>
      <c r="G126" s="9">
        <v>10000</v>
      </c>
      <c r="H126" s="9">
        <f t="shared" si="2"/>
        <v>11000</v>
      </c>
      <c r="J126" s="1" t="s">
        <v>326</v>
      </c>
      <c r="L126" s="1"/>
    </row>
    <row r="127" spans="3:12" ht="15" x14ac:dyDescent="0.7">
      <c r="F127" s="1" t="s">
        <v>519</v>
      </c>
      <c r="G127" s="9">
        <v>4000</v>
      </c>
      <c r="H127" s="9">
        <f t="shared" si="2"/>
        <v>4400</v>
      </c>
      <c r="J127" s="1" t="s">
        <v>326</v>
      </c>
      <c r="L127" s="1"/>
    </row>
    <row r="128" spans="3:12" ht="15" x14ac:dyDescent="0.7">
      <c r="F128" s="1" t="s">
        <v>520</v>
      </c>
      <c r="G128" s="9">
        <v>2500</v>
      </c>
      <c r="H128" s="9">
        <f t="shared" si="2"/>
        <v>2750</v>
      </c>
      <c r="J128" s="1" t="s">
        <v>326</v>
      </c>
      <c r="L128" s="1"/>
    </row>
    <row r="129" spans="3:12" ht="15" x14ac:dyDescent="0.7">
      <c r="F129" s="1" t="s">
        <v>521</v>
      </c>
      <c r="G129" s="9">
        <v>1000</v>
      </c>
      <c r="H129" s="9">
        <f t="shared" si="2"/>
        <v>1100</v>
      </c>
      <c r="J129" s="1" t="s">
        <v>326</v>
      </c>
      <c r="L129" s="1"/>
    </row>
    <row r="130" spans="3:12" x14ac:dyDescent="0.7">
      <c r="C130" s="1" t="s">
        <v>1056</v>
      </c>
      <c r="D130" s="1" t="s">
        <v>46</v>
      </c>
      <c r="E130" s="1" t="s">
        <v>674</v>
      </c>
      <c r="G130" s="9"/>
      <c r="H130" s="9">
        <f t="shared" si="2"/>
        <v>0</v>
      </c>
    </row>
    <row r="131" spans="3:12" x14ac:dyDescent="0.7">
      <c r="D131" s="1" t="s">
        <v>46</v>
      </c>
      <c r="E131" s="1" t="s">
        <v>675</v>
      </c>
      <c r="G131" s="9"/>
      <c r="H131" s="9">
        <f t="shared" si="2"/>
        <v>0</v>
      </c>
    </row>
    <row r="132" spans="3:12" x14ac:dyDescent="0.7">
      <c r="C132" s="1" t="s">
        <v>1056</v>
      </c>
      <c r="D132" s="1" t="s">
        <v>13</v>
      </c>
      <c r="F132" s="1" t="s">
        <v>970</v>
      </c>
      <c r="G132" s="9">
        <v>2500</v>
      </c>
      <c r="H132" s="9">
        <f t="shared" si="2"/>
        <v>2750</v>
      </c>
      <c r="J132" s="1" t="s">
        <v>498</v>
      </c>
    </row>
    <row r="133" spans="3:12" x14ac:dyDescent="0.7">
      <c r="F133" s="1" t="s">
        <v>971</v>
      </c>
      <c r="G133" s="9">
        <v>200</v>
      </c>
      <c r="H133" s="9">
        <f t="shared" si="2"/>
        <v>220.00000000000003</v>
      </c>
      <c r="J133" s="1" t="s">
        <v>326</v>
      </c>
    </row>
    <row r="134" spans="3:12" x14ac:dyDescent="0.7">
      <c r="F134" s="1" t="s">
        <v>972</v>
      </c>
      <c r="G134" s="9">
        <v>750</v>
      </c>
      <c r="H134" s="9">
        <f t="shared" si="2"/>
        <v>825.00000000000011</v>
      </c>
      <c r="J134" s="1" t="s">
        <v>973</v>
      </c>
    </row>
    <row r="135" spans="3:12" x14ac:dyDescent="0.7">
      <c r="F135" s="1" t="s">
        <v>977</v>
      </c>
      <c r="G135" s="9">
        <v>1150</v>
      </c>
      <c r="H135" s="9">
        <f t="shared" si="2"/>
        <v>1265</v>
      </c>
      <c r="J135" s="1" t="s">
        <v>498</v>
      </c>
    </row>
    <row r="136" spans="3:12" x14ac:dyDescent="0.7">
      <c r="F136" s="1" t="s">
        <v>974</v>
      </c>
      <c r="G136" s="9">
        <v>2500</v>
      </c>
      <c r="H136" s="9">
        <f t="shared" si="2"/>
        <v>2750</v>
      </c>
      <c r="J136" s="1" t="s">
        <v>326</v>
      </c>
    </row>
    <row r="137" spans="3:12" x14ac:dyDescent="0.7">
      <c r="F137" s="1" t="s">
        <v>975</v>
      </c>
      <c r="G137" s="9">
        <v>2500</v>
      </c>
      <c r="H137" s="9">
        <f t="shared" si="2"/>
        <v>2750</v>
      </c>
      <c r="J137" s="1" t="s">
        <v>326</v>
      </c>
    </row>
    <row r="138" spans="3:12" x14ac:dyDescent="0.7">
      <c r="F138" s="1" t="s">
        <v>976</v>
      </c>
      <c r="G138" s="9">
        <v>100</v>
      </c>
      <c r="H138" s="9">
        <f t="shared" si="2"/>
        <v>110.00000000000001</v>
      </c>
      <c r="J138" s="1" t="s">
        <v>326</v>
      </c>
    </row>
    <row r="139" spans="3:12" x14ac:dyDescent="0.7">
      <c r="F139" s="1" t="s">
        <v>979</v>
      </c>
      <c r="G139" s="9">
        <v>2000</v>
      </c>
      <c r="H139" s="9">
        <f t="shared" si="2"/>
        <v>2200</v>
      </c>
      <c r="J139" s="1" t="s">
        <v>329</v>
      </c>
    </row>
    <row r="140" spans="3:12" x14ac:dyDescent="0.7">
      <c r="F140" s="1" t="s">
        <v>980</v>
      </c>
      <c r="G140" s="9">
        <v>2000</v>
      </c>
      <c r="H140" s="9">
        <f t="shared" si="2"/>
        <v>2200</v>
      </c>
      <c r="J140" s="1" t="s">
        <v>326</v>
      </c>
    </row>
    <row r="141" spans="3:12" x14ac:dyDescent="0.7">
      <c r="F141" s="1" t="s">
        <v>981</v>
      </c>
      <c r="G141" s="9">
        <v>2000</v>
      </c>
      <c r="H141" s="9">
        <f t="shared" si="2"/>
        <v>2200</v>
      </c>
      <c r="J141" s="1" t="s">
        <v>326</v>
      </c>
    </row>
    <row r="142" spans="3:12" x14ac:dyDescent="0.7">
      <c r="F142" s="1" t="s">
        <v>982</v>
      </c>
      <c r="G142" s="9">
        <v>2000</v>
      </c>
      <c r="H142" s="9">
        <f t="shared" si="2"/>
        <v>2200</v>
      </c>
      <c r="J142" s="1" t="s">
        <v>326</v>
      </c>
    </row>
    <row r="143" spans="3:12" x14ac:dyDescent="0.7">
      <c r="F143" s="1" t="s">
        <v>983</v>
      </c>
      <c r="G143" s="9">
        <v>4800</v>
      </c>
      <c r="H143" s="9">
        <f t="shared" si="2"/>
        <v>5280</v>
      </c>
      <c r="J143" s="1" t="s">
        <v>326</v>
      </c>
    </row>
    <row r="144" spans="3:12" x14ac:dyDescent="0.7">
      <c r="F144" s="1" t="s">
        <v>984</v>
      </c>
      <c r="G144" s="9">
        <v>2000</v>
      </c>
      <c r="H144" s="9">
        <f t="shared" si="2"/>
        <v>2200</v>
      </c>
      <c r="J144" s="1" t="s">
        <v>326</v>
      </c>
    </row>
    <row r="145" spans="3:10" x14ac:dyDescent="0.7">
      <c r="F145" s="1" t="s">
        <v>985</v>
      </c>
      <c r="G145" s="9">
        <v>2000</v>
      </c>
      <c r="H145" s="9">
        <f t="shared" si="2"/>
        <v>2200</v>
      </c>
      <c r="J145" s="1" t="s">
        <v>326</v>
      </c>
    </row>
    <row r="146" spans="3:10" x14ac:dyDescent="0.7">
      <c r="F146" s="1" t="s">
        <v>986</v>
      </c>
      <c r="G146" s="9">
        <v>2000</v>
      </c>
      <c r="H146" s="9">
        <f t="shared" si="2"/>
        <v>2200</v>
      </c>
      <c r="J146" s="1" t="s">
        <v>326</v>
      </c>
    </row>
    <row r="147" spans="3:10" x14ac:dyDescent="0.7">
      <c r="F147" s="1" t="s">
        <v>987</v>
      </c>
      <c r="G147" s="9">
        <v>2000</v>
      </c>
      <c r="H147" s="9">
        <f t="shared" si="2"/>
        <v>2200</v>
      </c>
      <c r="J147" s="1" t="s">
        <v>326</v>
      </c>
    </row>
    <row r="148" spans="3:10" x14ac:dyDescent="0.7">
      <c r="F148" s="1" t="s">
        <v>988</v>
      </c>
      <c r="G148" s="9">
        <v>2000</v>
      </c>
      <c r="H148" s="9">
        <f t="shared" si="2"/>
        <v>2200</v>
      </c>
      <c r="J148" s="1" t="s">
        <v>326</v>
      </c>
    </row>
    <row r="149" spans="3:10" x14ac:dyDescent="0.7">
      <c r="F149" s="1" t="s">
        <v>989</v>
      </c>
      <c r="G149" s="9">
        <v>2000</v>
      </c>
      <c r="H149" s="9">
        <f t="shared" si="2"/>
        <v>2200</v>
      </c>
      <c r="J149" s="1" t="s">
        <v>326</v>
      </c>
    </row>
    <row r="150" spans="3:10" x14ac:dyDescent="0.7">
      <c r="F150" s="1" t="s">
        <v>990</v>
      </c>
      <c r="G150" s="9">
        <v>2800</v>
      </c>
      <c r="H150" s="9">
        <f t="shared" si="2"/>
        <v>3080.0000000000005</v>
      </c>
      <c r="J150" s="1" t="s">
        <v>326</v>
      </c>
    </row>
    <row r="151" spans="3:10" x14ac:dyDescent="0.7">
      <c r="F151" s="1" t="s">
        <v>991</v>
      </c>
      <c r="G151" s="9">
        <v>4400</v>
      </c>
      <c r="H151" s="9">
        <f t="shared" si="2"/>
        <v>4840</v>
      </c>
      <c r="J151" s="1" t="s">
        <v>326</v>
      </c>
    </row>
    <row r="152" spans="3:10" x14ac:dyDescent="0.7">
      <c r="F152" s="1" t="s">
        <v>992</v>
      </c>
      <c r="G152" s="9">
        <v>1500</v>
      </c>
      <c r="H152" s="9">
        <f t="shared" si="2"/>
        <v>1650.0000000000002</v>
      </c>
      <c r="J152" s="1" t="s">
        <v>326</v>
      </c>
    </row>
    <row r="153" spans="3:10" x14ac:dyDescent="0.7">
      <c r="C153" s="1" t="s">
        <v>1056</v>
      </c>
      <c r="D153" s="1" t="s">
        <v>14</v>
      </c>
      <c r="F153" s="1" t="s">
        <v>941</v>
      </c>
      <c r="G153" s="9">
        <v>2150</v>
      </c>
      <c r="H153" s="9">
        <f t="shared" si="2"/>
        <v>2365</v>
      </c>
    </row>
    <row r="154" spans="3:10" x14ac:dyDescent="0.7">
      <c r="F154" s="1" t="s">
        <v>942</v>
      </c>
      <c r="G154" s="9">
        <v>2000</v>
      </c>
      <c r="H154" s="9">
        <f t="shared" si="2"/>
        <v>2200</v>
      </c>
    </row>
    <row r="155" spans="3:10" x14ac:dyDescent="0.7">
      <c r="C155" s="1" t="s">
        <v>1056</v>
      </c>
      <c r="D155" s="1" t="s">
        <v>34</v>
      </c>
      <c r="F155" s="1" t="s">
        <v>528</v>
      </c>
      <c r="G155" s="9">
        <v>1560</v>
      </c>
      <c r="H155" s="9">
        <f t="shared" ref="H155:H174" si="3">G155*1.1</f>
        <v>1716.0000000000002</v>
      </c>
    </row>
    <row r="156" spans="3:10" x14ac:dyDescent="0.7">
      <c r="F156" s="1" t="s">
        <v>529</v>
      </c>
      <c r="G156" s="9">
        <v>1560</v>
      </c>
      <c r="H156" s="9">
        <f t="shared" si="3"/>
        <v>1716.0000000000002</v>
      </c>
    </row>
    <row r="157" spans="3:10" x14ac:dyDescent="0.7">
      <c r="F157" s="1" t="s">
        <v>530</v>
      </c>
      <c r="G157" s="9">
        <v>2410</v>
      </c>
      <c r="H157" s="9">
        <f t="shared" si="3"/>
        <v>2651</v>
      </c>
    </row>
    <row r="158" spans="3:10" x14ac:dyDescent="0.7">
      <c r="F158" s="1" t="s">
        <v>531</v>
      </c>
      <c r="G158" s="9">
        <v>2410</v>
      </c>
      <c r="H158" s="9">
        <f t="shared" si="3"/>
        <v>2651</v>
      </c>
    </row>
    <row r="159" spans="3:10" x14ac:dyDescent="0.7">
      <c r="F159" s="1" t="s">
        <v>532</v>
      </c>
      <c r="G159" s="9">
        <v>1000</v>
      </c>
      <c r="H159" s="9">
        <f t="shared" si="3"/>
        <v>1100</v>
      </c>
    </row>
    <row r="160" spans="3:10" x14ac:dyDescent="0.7">
      <c r="C160" s="1" t="s">
        <v>1056</v>
      </c>
      <c r="D160" s="1" t="s">
        <v>35</v>
      </c>
      <c r="F160" s="1" t="s">
        <v>533</v>
      </c>
      <c r="G160" s="9">
        <v>2000</v>
      </c>
      <c r="H160" s="9">
        <f t="shared" si="3"/>
        <v>2200</v>
      </c>
    </row>
    <row r="161" spans="3:10" x14ac:dyDescent="0.7">
      <c r="C161" s="1" t="s">
        <v>1056</v>
      </c>
      <c r="D161" s="1" t="s">
        <v>38</v>
      </c>
      <c r="F161" s="1" t="s">
        <v>963</v>
      </c>
      <c r="G161" s="9">
        <v>2700</v>
      </c>
      <c r="H161" s="9">
        <f t="shared" si="3"/>
        <v>2970.0000000000005</v>
      </c>
    </row>
    <row r="162" spans="3:10" x14ac:dyDescent="0.7">
      <c r="F162" s="1" t="s">
        <v>964</v>
      </c>
      <c r="G162" s="9">
        <v>2000</v>
      </c>
      <c r="H162" s="9">
        <f t="shared" si="3"/>
        <v>2200</v>
      </c>
    </row>
    <row r="163" spans="3:10" x14ac:dyDescent="0.7">
      <c r="F163" s="1" t="s">
        <v>968</v>
      </c>
      <c r="G163" s="9">
        <v>1000</v>
      </c>
      <c r="H163" s="9">
        <f t="shared" si="3"/>
        <v>1100</v>
      </c>
    </row>
    <row r="164" spans="3:10" x14ac:dyDescent="0.7">
      <c r="F164" s="1" t="s">
        <v>961</v>
      </c>
      <c r="G164" s="9">
        <v>2700</v>
      </c>
      <c r="H164" s="9">
        <f t="shared" si="3"/>
        <v>2970.0000000000005</v>
      </c>
    </row>
    <row r="165" spans="3:10" x14ac:dyDescent="0.7">
      <c r="F165" s="1" t="s">
        <v>965</v>
      </c>
      <c r="G165" s="9">
        <v>1150</v>
      </c>
      <c r="H165" s="9">
        <f t="shared" si="3"/>
        <v>1265</v>
      </c>
    </row>
    <row r="166" spans="3:10" x14ac:dyDescent="0.7">
      <c r="F166" s="1" t="s">
        <v>966</v>
      </c>
      <c r="G166" s="9">
        <v>2300</v>
      </c>
      <c r="H166" s="9">
        <f t="shared" si="3"/>
        <v>2530</v>
      </c>
    </row>
    <row r="167" spans="3:10" x14ac:dyDescent="0.7">
      <c r="F167" s="1" t="s">
        <v>969</v>
      </c>
      <c r="G167" s="9">
        <v>2700</v>
      </c>
      <c r="H167" s="9">
        <f t="shared" si="3"/>
        <v>2970.0000000000005</v>
      </c>
    </row>
    <row r="168" spans="3:10" x14ac:dyDescent="0.7">
      <c r="F168" s="1" t="s">
        <v>962</v>
      </c>
      <c r="G168" s="9">
        <v>10000</v>
      </c>
      <c r="H168" s="9">
        <f t="shared" si="3"/>
        <v>11000</v>
      </c>
    </row>
    <row r="169" spans="3:10" x14ac:dyDescent="0.7">
      <c r="F169" s="1" t="s">
        <v>967</v>
      </c>
      <c r="G169" s="9">
        <v>2200</v>
      </c>
      <c r="H169" s="9">
        <f t="shared" si="3"/>
        <v>2420</v>
      </c>
      <c r="J169" s="1" t="s">
        <v>284</v>
      </c>
    </row>
    <row r="170" spans="3:10" x14ac:dyDescent="0.7">
      <c r="C170" s="1" t="s">
        <v>1056</v>
      </c>
      <c r="D170" s="1" t="s">
        <v>952</v>
      </c>
      <c r="F170" s="1" t="s">
        <v>953</v>
      </c>
      <c r="G170" s="9">
        <v>2970</v>
      </c>
      <c r="H170" s="9">
        <f t="shared" si="3"/>
        <v>3267.0000000000005</v>
      </c>
    </row>
    <row r="171" spans="3:10" x14ac:dyDescent="0.7">
      <c r="C171" s="1" t="s">
        <v>1056</v>
      </c>
      <c r="D171" s="1" t="s">
        <v>39</v>
      </c>
      <c r="F171" s="1" t="s">
        <v>523</v>
      </c>
      <c r="G171" s="9">
        <v>2300</v>
      </c>
      <c r="H171" s="9">
        <f t="shared" si="3"/>
        <v>2530</v>
      </c>
    </row>
    <row r="172" spans="3:10" x14ac:dyDescent="0.7">
      <c r="F172" s="1" t="s">
        <v>502</v>
      </c>
      <c r="G172" s="9">
        <v>300</v>
      </c>
      <c r="H172" s="9">
        <f t="shared" si="3"/>
        <v>330</v>
      </c>
    </row>
    <row r="173" spans="3:10" x14ac:dyDescent="0.7">
      <c r="F173" s="1" t="s">
        <v>524</v>
      </c>
      <c r="G173" s="9">
        <v>100</v>
      </c>
      <c r="H173" s="9">
        <f t="shared" si="3"/>
        <v>110.00000000000001</v>
      </c>
      <c r="J173" s="1" t="s">
        <v>525</v>
      </c>
    </row>
    <row r="174" spans="3:10" x14ac:dyDescent="0.7">
      <c r="F174" s="1" t="s">
        <v>526</v>
      </c>
      <c r="G174" s="9">
        <v>4000</v>
      </c>
      <c r="H174" s="9">
        <f t="shared" si="3"/>
        <v>4400</v>
      </c>
      <c r="J174" s="1" t="s">
        <v>527</v>
      </c>
    </row>
    <row r="175" spans="3:10" x14ac:dyDescent="0.7">
      <c r="G175" s="9"/>
    </row>
    <row r="176" spans="3:10" x14ac:dyDescent="0.7">
      <c r="G176" s="9"/>
    </row>
    <row r="177" spans="3:8" x14ac:dyDescent="0.7">
      <c r="G177" s="9"/>
    </row>
    <row r="178" spans="3:8" x14ac:dyDescent="0.7">
      <c r="G178" s="9"/>
    </row>
    <row r="179" spans="3:8" x14ac:dyDescent="0.7">
      <c r="G179" s="9"/>
    </row>
    <row r="180" spans="3:8" x14ac:dyDescent="0.7">
      <c r="G180" s="9"/>
    </row>
    <row r="181" spans="3:8" x14ac:dyDescent="0.7">
      <c r="G181" s="9"/>
    </row>
    <row r="182" spans="3:8" x14ac:dyDescent="0.7">
      <c r="C182" s="1" t="s">
        <v>0</v>
      </c>
      <c r="D182" s="1" t="s">
        <v>51</v>
      </c>
      <c r="E182" s="1" t="s">
        <v>166</v>
      </c>
      <c r="F182" s="1" t="s">
        <v>208</v>
      </c>
      <c r="G182" s="9">
        <v>720</v>
      </c>
      <c r="H182" s="9">
        <f t="shared" ref="H182:H245" si="4">G182*1.1</f>
        <v>792.00000000000011</v>
      </c>
    </row>
    <row r="183" spans="3:8" x14ac:dyDescent="0.7">
      <c r="D183" s="1" t="s">
        <v>51</v>
      </c>
      <c r="E183" s="1" t="s">
        <v>167</v>
      </c>
      <c r="F183" s="1" t="s">
        <v>210</v>
      </c>
      <c r="G183" s="9">
        <v>720</v>
      </c>
      <c r="H183" s="9">
        <f t="shared" si="4"/>
        <v>792.00000000000011</v>
      </c>
    </row>
    <row r="184" spans="3:8" x14ac:dyDescent="0.7">
      <c r="D184" s="1" t="s">
        <v>51</v>
      </c>
      <c r="E184" s="1" t="s">
        <v>168</v>
      </c>
      <c r="F184" s="1" t="s">
        <v>211</v>
      </c>
      <c r="G184" s="9">
        <v>720</v>
      </c>
      <c r="H184" s="9">
        <f t="shared" si="4"/>
        <v>792.00000000000011</v>
      </c>
    </row>
    <row r="185" spans="3:8" x14ac:dyDescent="0.7">
      <c r="D185" s="1" t="s">
        <v>51</v>
      </c>
      <c r="E185" s="1" t="s">
        <v>169</v>
      </c>
      <c r="F185" s="1" t="s">
        <v>212</v>
      </c>
      <c r="G185" s="9">
        <v>720</v>
      </c>
      <c r="H185" s="9">
        <f t="shared" si="4"/>
        <v>792.00000000000011</v>
      </c>
    </row>
    <row r="186" spans="3:8" x14ac:dyDescent="0.7">
      <c r="D186" s="1" t="s">
        <v>51</v>
      </c>
      <c r="E186" s="1" t="s">
        <v>170</v>
      </c>
      <c r="F186" s="1" t="s">
        <v>213</v>
      </c>
      <c r="G186" s="9">
        <v>720</v>
      </c>
      <c r="H186" s="9">
        <f t="shared" si="4"/>
        <v>792.00000000000011</v>
      </c>
    </row>
    <row r="187" spans="3:8" x14ac:dyDescent="0.7">
      <c r="D187" s="1" t="s">
        <v>51</v>
      </c>
      <c r="E187" s="1" t="s">
        <v>171</v>
      </c>
      <c r="F187" s="1" t="s">
        <v>214</v>
      </c>
      <c r="G187" s="9">
        <v>720</v>
      </c>
      <c r="H187" s="9">
        <f t="shared" si="4"/>
        <v>792.00000000000011</v>
      </c>
    </row>
    <row r="188" spans="3:8" x14ac:dyDescent="0.7">
      <c r="D188" s="1" t="s">
        <v>51</v>
      </c>
      <c r="E188" s="1" t="s">
        <v>172</v>
      </c>
      <c r="F188" s="1" t="s">
        <v>215</v>
      </c>
      <c r="G188" s="9">
        <v>720</v>
      </c>
      <c r="H188" s="9">
        <f t="shared" si="4"/>
        <v>792.00000000000011</v>
      </c>
    </row>
    <row r="189" spans="3:8" x14ac:dyDescent="0.7">
      <c r="F189" s="1" t="s">
        <v>216</v>
      </c>
      <c r="G189" s="9">
        <v>720</v>
      </c>
      <c r="H189" s="9">
        <f t="shared" si="4"/>
        <v>792.00000000000011</v>
      </c>
    </row>
    <row r="190" spans="3:8" x14ac:dyDescent="0.7">
      <c r="D190" s="1" t="s">
        <v>51</v>
      </c>
      <c r="E190" s="1" t="s">
        <v>173</v>
      </c>
      <c r="F190" s="1" t="s">
        <v>217</v>
      </c>
      <c r="G190" s="9">
        <v>720</v>
      </c>
      <c r="H190" s="9">
        <f t="shared" si="4"/>
        <v>792.00000000000011</v>
      </c>
    </row>
    <row r="191" spans="3:8" x14ac:dyDescent="0.7">
      <c r="D191" s="1" t="s">
        <v>51</v>
      </c>
      <c r="E191" s="1" t="s">
        <v>174</v>
      </c>
      <c r="F191" s="1" t="s">
        <v>218</v>
      </c>
      <c r="G191" s="9">
        <v>720</v>
      </c>
      <c r="H191" s="9">
        <f t="shared" si="4"/>
        <v>792.00000000000011</v>
      </c>
    </row>
    <row r="192" spans="3:8" x14ac:dyDescent="0.7">
      <c r="D192" s="1" t="s">
        <v>51</v>
      </c>
      <c r="E192" s="1" t="s">
        <v>175</v>
      </c>
      <c r="F192" s="1" t="s">
        <v>219</v>
      </c>
      <c r="G192" s="9">
        <v>720</v>
      </c>
      <c r="H192" s="9">
        <f t="shared" si="4"/>
        <v>792.00000000000011</v>
      </c>
    </row>
    <row r="193" spans="4:8" x14ac:dyDescent="0.7">
      <c r="D193" s="1" t="s">
        <v>51</v>
      </c>
      <c r="E193" s="1" t="s">
        <v>177</v>
      </c>
      <c r="F193" s="1" t="s">
        <v>220</v>
      </c>
      <c r="G193" s="9">
        <v>720</v>
      </c>
      <c r="H193" s="9">
        <f t="shared" si="4"/>
        <v>792.00000000000011</v>
      </c>
    </row>
    <row r="194" spans="4:8" x14ac:dyDescent="0.7">
      <c r="D194" s="1" t="s">
        <v>51</v>
      </c>
      <c r="E194" s="1" t="s">
        <v>178</v>
      </c>
      <c r="F194" s="1" t="s">
        <v>221</v>
      </c>
      <c r="G194" s="9">
        <v>720</v>
      </c>
      <c r="H194" s="9">
        <f t="shared" si="4"/>
        <v>792.00000000000011</v>
      </c>
    </row>
    <row r="195" spans="4:8" x14ac:dyDescent="0.7">
      <c r="D195" s="1" t="s">
        <v>51</v>
      </c>
      <c r="E195" s="1" t="s">
        <v>179</v>
      </c>
      <c r="F195" s="1" t="s">
        <v>222</v>
      </c>
      <c r="G195" s="9">
        <v>720</v>
      </c>
      <c r="H195" s="9">
        <f t="shared" si="4"/>
        <v>792.00000000000011</v>
      </c>
    </row>
    <row r="196" spans="4:8" x14ac:dyDescent="0.7">
      <c r="D196" s="1" t="s">
        <v>51</v>
      </c>
      <c r="E196" s="1" t="s">
        <v>180</v>
      </c>
      <c r="F196" s="1" t="s">
        <v>223</v>
      </c>
      <c r="G196" s="9">
        <v>720</v>
      </c>
      <c r="H196" s="9">
        <f t="shared" si="4"/>
        <v>792.00000000000011</v>
      </c>
    </row>
    <row r="197" spans="4:8" x14ac:dyDescent="0.7">
      <c r="D197" s="1" t="s">
        <v>51</v>
      </c>
      <c r="E197" s="1" t="s">
        <v>181</v>
      </c>
      <c r="F197" s="1" t="s">
        <v>224</v>
      </c>
      <c r="G197" s="9">
        <v>720</v>
      </c>
      <c r="H197" s="9">
        <f t="shared" si="4"/>
        <v>792.00000000000011</v>
      </c>
    </row>
    <row r="198" spans="4:8" x14ac:dyDescent="0.7">
      <c r="D198" s="1" t="s">
        <v>51</v>
      </c>
      <c r="E198" s="1" t="s">
        <v>182</v>
      </c>
      <c r="F198" s="1" t="s">
        <v>225</v>
      </c>
      <c r="G198" s="9">
        <v>720</v>
      </c>
      <c r="H198" s="9">
        <f t="shared" si="4"/>
        <v>792.00000000000011</v>
      </c>
    </row>
    <row r="199" spans="4:8" x14ac:dyDescent="0.7">
      <c r="D199" s="1" t="s">
        <v>51</v>
      </c>
      <c r="E199" s="1" t="s">
        <v>183</v>
      </c>
      <c r="F199" s="1" t="s">
        <v>226</v>
      </c>
      <c r="G199" s="9">
        <v>720</v>
      </c>
      <c r="H199" s="9">
        <f t="shared" si="4"/>
        <v>792.00000000000011</v>
      </c>
    </row>
    <row r="200" spans="4:8" x14ac:dyDescent="0.7">
      <c r="D200" s="1" t="s">
        <v>51</v>
      </c>
      <c r="E200" s="1" t="s">
        <v>184</v>
      </c>
      <c r="F200" s="1" t="s">
        <v>227</v>
      </c>
      <c r="G200" s="9">
        <v>720</v>
      </c>
      <c r="H200" s="9">
        <f t="shared" si="4"/>
        <v>792.00000000000011</v>
      </c>
    </row>
    <row r="201" spans="4:8" x14ac:dyDescent="0.7">
      <c r="D201" s="1" t="s">
        <v>51</v>
      </c>
      <c r="E201" s="1" t="s">
        <v>185</v>
      </c>
      <c r="F201" s="1" t="s">
        <v>228</v>
      </c>
      <c r="G201" s="9">
        <v>720</v>
      </c>
      <c r="H201" s="9">
        <f t="shared" si="4"/>
        <v>792.00000000000011</v>
      </c>
    </row>
    <row r="202" spans="4:8" x14ac:dyDescent="0.7">
      <c r="D202" s="1" t="s">
        <v>51</v>
      </c>
      <c r="E202" s="1" t="s">
        <v>186</v>
      </c>
      <c r="F202" s="1" t="s">
        <v>229</v>
      </c>
      <c r="G202" s="9">
        <v>720</v>
      </c>
      <c r="H202" s="9">
        <f t="shared" si="4"/>
        <v>792.00000000000011</v>
      </c>
    </row>
    <row r="203" spans="4:8" x14ac:dyDescent="0.7">
      <c r="D203" s="1" t="s">
        <v>51</v>
      </c>
      <c r="E203" s="1" t="s">
        <v>187</v>
      </c>
      <c r="F203" s="1" t="s">
        <v>230</v>
      </c>
      <c r="G203" s="9">
        <v>720</v>
      </c>
      <c r="H203" s="9">
        <f t="shared" si="4"/>
        <v>792.00000000000011</v>
      </c>
    </row>
    <row r="204" spans="4:8" x14ac:dyDescent="0.7">
      <c r="D204" s="1" t="s">
        <v>51</v>
      </c>
      <c r="E204" s="1" t="s">
        <v>188</v>
      </c>
      <c r="F204" s="1" t="s">
        <v>231</v>
      </c>
      <c r="G204" s="9">
        <v>720</v>
      </c>
      <c r="H204" s="9">
        <f t="shared" si="4"/>
        <v>792.00000000000011</v>
      </c>
    </row>
    <row r="205" spans="4:8" x14ac:dyDescent="0.7">
      <c r="D205" s="1" t="s">
        <v>51</v>
      </c>
      <c r="E205" s="1" t="s">
        <v>176</v>
      </c>
      <c r="F205" s="1" t="s">
        <v>232</v>
      </c>
      <c r="G205" s="9">
        <v>720</v>
      </c>
      <c r="H205" s="9">
        <f t="shared" si="4"/>
        <v>792.00000000000011</v>
      </c>
    </row>
    <row r="206" spans="4:8" x14ac:dyDescent="0.7">
      <c r="D206" s="1" t="s">
        <v>51</v>
      </c>
      <c r="E206" s="1" t="s">
        <v>189</v>
      </c>
      <c r="F206" s="1" t="s">
        <v>233</v>
      </c>
      <c r="G206" s="9">
        <v>720</v>
      </c>
      <c r="H206" s="9">
        <f t="shared" si="4"/>
        <v>792.00000000000011</v>
      </c>
    </row>
    <row r="207" spans="4:8" x14ac:dyDescent="0.7">
      <c r="D207" s="1" t="s">
        <v>51</v>
      </c>
      <c r="E207" s="1" t="s">
        <v>236</v>
      </c>
      <c r="F207" s="1" t="s">
        <v>234</v>
      </c>
      <c r="G207" s="9">
        <v>720</v>
      </c>
      <c r="H207" s="9">
        <f t="shared" si="4"/>
        <v>792.00000000000011</v>
      </c>
    </row>
    <row r="208" spans="4:8" x14ac:dyDescent="0.7">
      <c r="D208" s="1" t="s">
        <v>51</v>
      </c>
      <c r="E208" s="1" t="s">
        <v>190</v>
      </c>
      <c r="F208" s="1" t="s">
        <v>235</v>
      </c>
      <c r="G208" s="9">
        <v>720</v>
      </c>
      <c r="H208" s="9">
        <f t="shared" si="4"/>
        <v>792.00000000000011</v>
      </c>
    </row>
    <row r="209" spans="4:10" x14ac:dyDescent="0.7">
      <c r="D209" s="1" t="s">
        <v>51</v>
      </c>
      <c r="E209" s="1" t="s">
        <v>238</v>
      </c>
      <c r="F209" s="1" t="s">
        <v>237</v>
      </c>
      <c r="G209" s="9">
        <v>720</v>
      </c>
      <c r="H209" s="9">
        <f t="shared" si="4"/>
        <v>792.00000000000011</v>
      </c>
    </row>
    <row r="210" spans="4:10" x14ac:dyDescent="0.7">
      <c r="D210" s="1" t="s">
        <v>51</v>
      </c>
      <c r="E210" s="1" t="s">
        <v>191</v>
      </c>
      <c r="F210" s="1" t="s">
        <v>239</v>
      </c>
      <c r="G210" s="9">
        <v>720</v>
      </c>
      <c r="H210" s="9">
        <f t="shared" si="4"/>
        <v>792.00000000000011</v>
      </c>
    </row>
    <row r="211" spans="4:10" x14ac:dyDescent="0.7">
      <c r="D211" s="1" t="s">
        <v>51</v>
      </c>
      <c r="E211" s="1" t="s">
        <v>192</v>
      </c>
      <c r="F211" s="1" t="s">
        <v>240</v>
      </c>
      <c r="G211" s="9">
        <v>720</v>
      </c>
      <c r="H211" s="9">
        <f t="shared" si="4"/>
        <v>792.00000000000011</v>
      </c>
    </row>
    <row r="212" spans="4:10" x14ac:dyDescent="0.7">
      <c r="D212" s="1" t="s">
        <v>51</v>
      </c>
      <c r="E212" s="1" t="s">
        <v>193</v>
      </c>
      <c r="F212" s="1" t="s">
        <v>241</v>
      </c>
      <c r="G212" s="9">
        <v>720</v>
      </c>
      <c r="H212" s="9">
        <f t="shared" si="4"/>
        <v>792.00000000000011</v>
      </c>
    </row>
    <row r="213" spans="4:10" x14ac:dyDescent="0.7">
      <c r="D213" s="1" t="s">
        <v>51</v>
      </c>
      <c r="E213" s="1" t="s">
        <v>194</v>
      </c>
      <c r="F213" s="1" t="s">
        <v>242</v>
      </c>
      <c r="G213" s="9">
        <v>720</v>
      </c>
      <c r="H213" s="9">
        <f t="shared" si="4"/>
        <v>792.00000000000011</v>
      </c>
    </row>
    <row r="214" spans="4:10" x14ac:dyDescent="0.7">
      <c r="D214" s="1" t="s">
        <v>51</v>
      </c>
      <c r="E214" s="1" t="s">
        <v>195</v>
      </c>
      <c r="F214" s="1" t="s">
        <v>243</v>
      </c>
      <c r="G214" s="9">
        <v>720</v>
      </c>
      <c r="H214" s="9">
        <f t="shared" si="4"/>
        <v>792.00000000000011</v>
      </c>
    </row>
    <row r="215" spans="4:10" x14ac:dyDescent="0.7">
      <c r="D215" s="1" t="s">
        <v>51</v>
      </c>
      <c r="E215" s="1" t="s">
        <v>196</v>
      </c>
      <c r="F215" s="1" t="s">
        <v>244</v>
      </c>
      <c r="G215" s="9">
        <v>720</v>
      </c>
      <c r="H215" s="9">
        <f t="shared" si="4"/>
        <v>792.00000000000011</v>
      </c>
    </row>
    <row r="216" spans="4:10" x14ac:dyDescent="0.7">
      <c r="D216" s="1" t="s">
        <v>51</v>
      </c>
      <c r="E216" s="1" t="s">
        <v>197</v>
      </c>
      <c r="F216" s="1" t="s">
        <v>245</v>
      </c>
      <c r="G216" s="9">
        <v>720</v>
      </c>
      <c r="H216" s="9">
        <f t="shared" si="4"/>
        <v>792.00000000000011</v>
      </c>
    </row>
    <row r="217" spans="4:10" x14ac:dyDescent="0.7">
      <c r="D217" s="1" t="s">
        <v>51</v>
      </c>
      <c r="E217" s="1" t="s">
        <v>198</v>
      </c>
      <c r="F217" s="1" t="s">
        <v>246</v>
      </c>
      <c r="G217" s="9">
        <v>720</v>
      </c>
      <c r="H217" s="9">
        <f t="shared" si="4"/>
        <v>792.00000000000011</v>
      </c>
    </row>
    <row r="218" spans="4:10" x14ac:dyDescent="0.7">
      <c r="D218" s="1" t="s">
        <v>51</v>
      </c>
      <c r="E218" s="1" t="s">
        <v>199</v>
      </c>
      <c r="F218" s="1" t="s">
        <v>247</v>
      </c>
      <c r="G218" s="9">
        <v>720</v>
      </c>
      <c r="H218" s="9">
        <f t="shared" si="4"/>
        <v>792.00000000000011</v>
      </c>
    </row>
    <row r="219" spans="4:10" x14ac:dyDescent="0.7">
      <c r="D219" s="1" t="s">
        <v>51</v>
      </c>
      <c r="E219" s="1" t="s">
        <v>200</v>
      </c>
      <c r="F219" s="1" t="s">
        <v>248</v>
      </c>
      <c r="G219" s="9">
        <v>720</v>
      </c>
      <c r="H219" s="9">
        <f t="shared" si="4"/>
        <v>792.00000000000011</v>
      </c>
    </row>
    <row r="220" spans="4:10" x14ac:dyDescent="0.7">
      <c r="D220" s="1" t="s">
        <v>51</v>
      </c>
      <c r="E220" s="1" t="s">
        <v>201</v>
      </c>
      <c r="F220" s="1" t="s">
        <v>249</v>
      </c>
      <c r="G220" s="9">
        <v>720</v>
      </c>
      <c r="H220" s="9">
        <f t="shared" si="4"/>
        <v>792.00000000000011</v>
      </c>
    </row>
    <row r="221" spans="4:10" x14ac:dyDescent="0.7">
      <c r="D221" s="1" t="s">
        <v>51</v>
      </c>
      <c r="E221" s="1" t="s">
        <v>202</v>
      </c>
      <c r="F221" s="1" t="s">
        <v>250</v>
      </c>
      <c r="G221" s="9">
        <v>720</v>
      </c>
      <c r="H221" s="9">
        <f t="shared" si="4"/>
        <v>792.00000000000011</v>
      </c>
    </row>
    <row r="222" spans="4:10" x14ac:dyDescent="0.7">
      <c r="F222" s="1" t="s">
        <v>251</v>
      </c>
      <c r="G222" s="9">
        <v>468.18181818181819</v>
      </c>
      <c r="H222" s="9">
        <f t="shared" si="4"/>
        <v>515</v>
      </c>
      <c r="J222" s="5"/>
    </row>
    <row r="223" spans="4:10" x14ac:dyDescent="0.7">
      <c r="F223" s="1" t="s">
        <v>252</v>
      </c>
      <c r="G223" s="9">
        <v>630</v>
      </c>
      <c r="H223" s="9">
        <f t="shared" si="4"/>
        <v>693</v>
      </c>
    </row>
    <row r="224" spans="4:10" x14ac:dyDescent="0.7">
      <c r="F224" s="1" t="s">
        <v>253</v>
      </c>
      <c r="G224" s="9">
        <v>315.4545454545455</v>
      </c>
      <c r="H224" s="9">
        <f t="shared" si="4"/>
        <v>347.00000000000006</v>
      </c>
      <c r="J224" s="5"/>
    </row>
    <row r="225" spans="3:10" x14ac:dyDescent="0.7">
      <c r="D225" s="1" t="s">
        <v>51</v>
      </c>
      <c r="E225" s="1" t="s">
        <v>203</v>
      </c>
      <c r="F225" s="1" t="s">
        <v>254</v>
      </c>
      <c r="G225" s="9">
        <v>720</v>
      </c>
      <c r="H225" s="9">
        <f t="shared" si="4"/>
        <v>792.00000000000011</v>
      </c>
    </row>
    <row r="226" spans="3:10" x14ac:dyDescent="0.7">
      <c r="F226" s="1" t="s">
        <v>255</v>
      </c>
      <c r="G226" s="9">
        <v>468.18181818181819</v>
      </c>
      <c r="H226" s="9">
        <f t="shared" si="4"/>
        <v>515</v>
      </c>
      <c r="J226" s="5"/>
    </row>
    <row r="227" spans="3:10" x14ac:dyDescent="0.7">
      <c r="D227" s="1" t="s">
        <v>51</v>
      </c>
      <c r="E227" s="1" t="s">
        <v>620</v>
      </c>
      <c r="F227" s="1" t="s">
        <v>256</v>
      </c>
      <c r="G227" s="9">
        <v>720</v>
      </c>
      <c r="H227" s="9">
        <f t="shared" si="4"/>
        <v>792.00000000000011</v>
      </c>
    </row>
    <row r="228" spans="3:10" x14ac:dyDescent="0.7">
      <c r="F228" s="1" t="s">
        <v>257</v>
      </c>
      <c r="G228" s="9">
        <v>468.18181818181819</v>
      </c>
      <c r="H228" s="9">
        <f t="shared" si="4"/>
        <v>515</v>
      </c>
      <c r="J228" s="5"/>
    </row>
    <row r="229" spans="3:10" x14ac:dyDescent="0.7">
      <c r="D229" s="1" t="s">
        <v>51</v>
      </c>
      <c r="E229" s="1" t="s">
        <v>204</v>
      </c>
      <c r="F229" s="1" t="s">
        <v>258</v>
      </c>
      <c r="G229" s="9">
        <v>720</v>
      </c>
      <c r="H229" s="9">
        <f t="shared" si="4"/>
        <v>792.00000000000011</v>
      </c>
    </row>
    <row r="230" spans="3:10" x14ac:dyDescent="0.7">
      <c r="F230" s="1" t="s">
        <v>259</v>
      </c>
      <c r="G230" s="9">
        <v>468.18181818181819</v>
      </c>
      <c r="H230" s="9">
        <f t="shared" si="4"/>
        <v>515</v>
      </c>
      <c r="J230" s="5"/>
    </row>
    <row r="231" spans="3:10" x14ac:dyDescent="0.7">
      <c r="F231" s="1" t="s">
        <v>260</v>
      </c>
      <c r="G231" s="9">
        <v>315.4545454545455</v>
      </c>
      <c r="H231" s="9">
        <f t="shared" si="4"/>
        <v>347.00000000000006</v>
      </c>
      <c r="J231" s="5"/>
    </row>
    <row r="232" spans="3:10" x14ac:dyDescent="0.7">
      <c r="D232" s="1" t="s">
        <v>51</v>
      </c>
      <c r="E232" s="1" t="s">
        <v>205</v>
      </c>
      <c r="F232" s="1" t="s">
        <v>261</v>
      </c>
      <c r="G232" s="9">
        <v>720</v>
      </c>
      <c r="H232" s="9">
        <f t="shared" si="4"/>
        <v>792.00000000000011</v>
      </c>
    </row>
    <row r="233" spans="3:10" x14ac:dyDescent="0.7">
      <c r="D233" s="1" t="s">
        <v>51</v>
      </c>
      <c r="E233" s="1" t="s">
        <v>206</v>
      </c>
      <c r="F233" s="1" t="s">
        <v>262</v>
      </c>
      <c r="G233" s="9">
        <v>720</v>
      </c>
      <c r="H233" s="9">
        <f t="shared" si="4"/>
        <v>792.00000000000011</v>
      </c>
    </row>
    <row r="234" spans="3:10" x14ac:dyDescent="0.7">
      <c r="D234" s="1" t="s">
        <v>51</v>
      </c>
      <c r="E234" s="1" t="s">
        <v>207</v>
      </c>
      <c r="F234" s="1" t="s">
        <v>263</v>
      </c>
      <c r="G234" s="9">
        <v>720</v>
      </c>
      <c r="H234" s="9">
        <f t="shared" si="4"/>
        <v>792.00000000000011</v>
      </c>
    </row>
    <row r="235" spans="3:10" x14ac:dyDescent="0.7">
      <c r="C235" s="1" t="s">
        <v>0</v>
      </c>
      <c r="D235" s="1" t="s">
        <v>59</v>
      </c>
      <c r="E235" s="1" t="s">
        <v>134</v>
      </c>
      <c r="F235" s="1" t="s">
        <v>149</v>
      </c>
      <c r="G235" s="9">
        <v>570</v>
      </c>
      <c r="H235" s="9">
        <f t="shared" si="4"/>
        <v>627</v>
      </c>
    </row>
    <row r="236" spans="3:10" x14ac:dyDescent="0.7">
      <c r="D236" s="1" t="s">
        <v>59</v>
      </c>
      <c r="E236" s="1" t="s">
        <v>135</v>
      </c>
      <c r="F236" s="1" t="s">
        <v>150</v>
      </c>
      <c r="G236" s="9">
        <v>590</v>
      </c>
      <c r="H236" s="9">
        <f t="shared" si="4"/>
        <v>649</v>
      </c>
    </row>
    <row r="237" spans="3:10" x14ac:dyDescent="0.7">
      <c r="D237" s="1" t="s">
        <v>59</v>
      </c>
      <c r="E237" s="1" t="s">
        <v>136</v>
      </c>
      <c r="F237" s="1" t="s">
        <v>151</v>
      </c>
      <c r="G237" s="9">
        <v>570</v>
      </c>
      <c r="H237" s="9">
        <f t="shared" si="4"/>
        <v>627</v>
      </c>
    </row>
    <row r="238" spans="3:10" x14ac:dyDescent="0.7">
      <c r="D238" s="1" t="s">
        <v>59</v>
      </c>
      <c r="E238" s="1" t="s">
        <v>137</v>
      </c>
      <c r="F238" s="1" t="s">
        <v>152</v>
      </c>
      <c r="G238" s="9">
        <v>570</v>
      </c>
      <c r="H238" s="9">
        <f t="shared" si="4"/>
        <v>627</v>
      </c>
    </row>
    <row r="239" spans="3:10" x14ac:dyDescent="0.7">
      <c r="D239" s="1" t="s">
        <v>59</v>
      </c>
      <c r="E239" s="1" t="s">
        <v>138</v>
      </c>
      <c r="F239" s="1" t="s">
        <v>153</v>
      </c>
      <c r="G239" s="9">
        <v>550</v>
      </c>
      <c r="H239" s="9">
        <f t="shared" si="4"/>
        <v>605</v>
      </c>
      <c r="J239" s="1" t="s">
        <v>285</v>
      </c>
    </row>
    <row r="240" spans="3:10" x14ac:dyDescent="0.7">
      <c r="D240" s="1" t="s">
        <v>59</v>
      </c>
      <c r="E240" s="1" t="s">
        <v>139</v>
      </c>
      <c r="F240" s="1" t="s">
        <v>154</v>
      </c>
      <c r="G240" s="9">
        <v>590</v>
      </c>
      <c r="H240" s="9">
        <f t="shared" si="4"/>
        <v>649</v>
      </c>
    </row>
    <row r="241" spans="3:8" x14ac:dyDescent="0.7">
      <c r="D241" s="1" t="s">
        <v>59</v>
      </c>
      <c r="E241" s="1" t="s">
        <v>140</v>
      </c>
      <c r="F241" s="1" t="s">
        <v>155</v>
      </c>
      <c r="G241" s="9">
        <v>570</v>
      </c>
      <c r="H241" s="9">
        <f t="shared" si="4"/>
        <v>627</v>
      </c>
    </row>
    <row r="242" spans="3:8" x14ac:dyDescent="0.7">
      <c r="D242" s="1" t="s">
        <v>59</v>
      </c>
      <c r="E242" s="1" t="s">
        <v>141</v>
      </c>
      <c r="F242" s="1" t="s">
        <v>156</v>
      </c>
      <c r="G242" s="9">
        <v>590</v>
      </c>
      <c r="H242" s="9">
        <f t="shared" si="4"/>
        <v>649</v>
      </c>
    </row>
    <row r="243" spans="3:8" x14ac:dyDescent="0.7">
      <c r="D243" s="1" t="s">
        <v>59</v>
      </c>
      <c r="E243" s="1" t="s">
        <v>142</v>
      </c>
      <c r="F243" s="1" t="s">
        <v>157</v>
      </c>
      <c r="G243" s="9">
        <v>590</v>
      </c>
      <c r="H243" s="9">
        <f t="shared" si="4"/>
        <v>649</v>
      </c>
    </row>
    <row r="244" spans="3:8" x14ac:dyDescent="0.7">
      <c r="D244" s="1" t="s">
        <v>59</v>
      </c>
      <c r="E244" s="1" t="s">
        <v>143</v>
      </c>
      <c r="F244" s="1" t="s">
        <v>158</v>
      </c>
      <c r="G244" s="9">
        <v>590</v>
      </c>
      <c r="H244" s="9">
        <f t="shared" si="4"/>
        <v>649</v>
      </c>
    </row>
    <row r="245" spans="3:8" x14ac:dyDescent="0.7">
      <c r="D245" s="1" t="s">
        <v>59</v>
      </c>
      <c r="E245" s="1" t="s">
        <v>144</v>
      </c>
      <c r="F245" s="1" t="s">
        <v>159</v>
      </c>
      <c r="G245" s="9">
        <v>570</v>
      </c>
      <c r="H245" s="9">
        <f t="shared" si="4"/>
        <v>627</v>
      </c>
    </row>
    <row r="246" spans="3:8" x14ac:dyDescent="0.7">
      <c r="D246" s="1" t="s">
        <v>59</v>
      </c>
      <c r="E246" s="1" t="s">
        <v>145</v>
      </c>
      <c r="F246" s="1" t="s">
        <v>160</v>
      </c>
      <c r="G246" s="9">
        <v>590</v>
      </c>
      <c r="H246" s="9">
        <f t="shared" ref="H246:H305" si="5">G246*1.1</f>
        <v>649</v>
      </c>
    </row>
    <row r="247" spans="3:8" x14ac:dyDescent="0.7">
      <c r="C247" s="1" t="s">
        <v>0</v>
      </c>
      <c r="D247" s="1" t="s">
        <v>60</v>
      </c>
      <c r="E247" s="1" t="s">
        <v>118</v>
      </c>
      <c r="F247" s="1" t="s">
        <v>122</v>
      </c>
      <c r="G247" s="9">
        <v>720</v>
      </c>
      <c r="H247" s="9">
        <f t="shared" si="5"/>
        <v>792.00000000000011</v>
      </c>
    </row>
    <row r="248" spans="3:8" x14ac:dyDescent="0.7">
      <c r="D248" s="1" t="s">
        <v>60</v>
      </c>
      <c r="E248" s="1" t="s">
        <v>119</v>
      </c>
      <c r="F248" s="1" t="s">
        <v>123</v>
      </c>
      <c r="G248" s="9">
        <v>720</v>
      </c>
      <c r="H248" s="9">
        <f t="shared" si="5"/>
        <v>792.00000000000011</v>
      </c>
    </row>
    <row r="249" spans="3:8" x14ac:dyDescent="0.7">
      <c r="D249" s="1" t="s">
        <v>60</v>
      </c>
      <c r="E249" s="1" t="s">
        <v>120</v>
      </c>
      <c r="F249" s="1" t="s">
        <v>124</v>
      </c>
      <c r="G249" s="9">
        <v>720</v>
      </c>
      <c r="H249" s="9">
        <f t="shared" si="5"/>
        <v>792.00000000000011</v>
      </c>
    </row>
    <row r="250" spans="3:8" x14ac:dyDescent="0.7">
      <c r="D250" s="1" t="s">
        <v>60</v>
      </c>
      <c r="E250" s="1" t="s">
        <v>121</v>
      </c>
      <c r="F250" s="1" t="s">
        <v>125</v>
      </c>
      <c r="G250" s="9">
        <v>720</v>
      </c>
      <c r="H250" s="9">
        <f t="shared" si="5"/>
        <v>792.00000000000011</v>
      </c>
    </row>
    <row r="251" spans="3:8" x14ac:dyDescent="0.7">
      <c r="C251" s="1" t="s">
        <v>0</v>
      </c>
      <c r="D251" s="1" t="s">
        <v>61</v>
      </c>
      <c r="E251" s="1" t="s">
        <v>102</v>
      </c>
      <c r="F251" s="1" t="s">
        <v>105</v>
      </c>
      <c r="G251" s="9">
        <v>1000</v>
      </c>
      <c r="H251" s="9">
        <f t="shared" si="5"/>
        <v>1100</v>
      </c>
    </row>
    <row r="252" spans="3:8" x14ac:dyDescent="0.7">
      <c r="F252" s="1" t="s">
        <v>106</v>
      </c>
      <c r="G252" s="9">
        <v>1550</v>
      </c>
      <c r="H252" s="9">
        <f t="shared" si="5"/>
        <v>1705.0000000000002</v>
      </c>
    </row>
    <row r="253" spans="3:8" x14ac:dyDescent="0.7">
      <c r="D253" s="1" t="s">
        <v>61</v>
      </c>
      <c r="E253" s="1" t="s">
        <v>103</v>
      </c>
      <c r="F253" s="1" t="s">
        <v>107</v>
      </c>
      <c r="G253" s="9">
        <v>1000</v>
      </c>
      <c r="H253" s="9">
        <f t="shared" si="5"/>
        <v>1100</v>
      </c>
    </row>
    <row r="254" spans="3:8" x14ac:dyDescent="0.7">
      <c r="F254" s="1" t="s">
        <v>108</v>
      </c>
      <c r="G254" s="9">
        <v>1550</v>
      </c>
      <c r="H254" s="9">
        <f t="shared" si="5"/>
        <v>1705.0000000000002</v>
      </c>
    </row>
    <row r="255" spans="3:8" x14ac:dyDescent="0.7">
      <c r="D255" s="1" t="s">
        <v>61</v>
      </c>
      <c r="E255" s="1" t="s">
        <v>104</v>
      </c>
      <c r="F255" s="1" t="s">
        <v>109</v>
      </c>
      <c r="G255" s="9">
        <v>580</v>
      </c>
      <c r="H255" s="9">
        <f t="shared" si="5"/>
        <v>638</v>
      </c>
    </row>
    <row r="256" spans="3:8" x14ac:dyDescent="0.7">
      <c r="F256" s="1" t="s">
        <v>110</v>
      </c>
      <c r="G256" s="9">
        <v>1160</v>
      </c>
      <c r="H256" s="9">
        <f t="shared" si="5"/>
        <v>1276</v>
      </c>
    </row>
    <row r="257" spans="3:10" x14ac:dyDescent="0.7">
      <c r="C257" s="1" t="s">
        <v>0</v>
      </c>
      <c r="D257" s="1" t="s">
        <v>62</v>
      </c>
      <c r="E257" s="1" t="s">
        <v>146</v>
      </c>
      <c r="F257" s="1" t="s">
        <v>126</v>
      </c>
      <c r="G257" s="9">
        <v>678.18181818181813</v>
      </c>
      <c r="H257" s="9">
        <f t="shared" si="5"/>
        <v>746</v>
      </c>
      <c r="J257" s="5"/>
    </row>
    <row r="258" spans="3:10" x14ac:dyDescent="0.7">
      <c r="F258" s="1" t="s">
        <v>127</v>
      </c>
      <c r="G258" s="9">
        <v>1356.3636363636363</v>
      </c>
      <c r="H258" s="9">
        <f t="shared" si="5"/>
        <v>1492</v>
      </c>
      <c r="J258" s="5"/>
    </row>
    <row r="259" spans="3:10" x14ac:dyDescent="0.7">
      <c r="F259" s="1" t="s">
        <v>128</v>
      </c>
      <c r="G259" s="9">
        <v>440</v>
      </c>
      <c r="H259" s="9">
        <f t="shared" si="5"/>
        <v>484.00000000000006</v>
      </c>
      <c r="J259" s="4"/>
    </row>
    <row r="260" spans="3:10" x14ac:dyDescent="0.7">
      <c r="D260" s="1" t="s">
        <v>62</v>
      </c>
      <c r="E260" s="1" t="s">
        <v>147</v>
      </c>
      <c r="F260" s="1" t="s">
        <v>129</v>
      </c>
      <c r="G260" s="9">
        <v>557.27272727272725</v>
      </c>
      <c r="H260" s="9">
        <f t="shared" si="5"/>
        <v>613</v>
      </c>
      <c r="J260" s="5"/>
    </row>
    <row r="261" spans="3:10" x14ac:dyDescent="0.7">
      <c r="F261" s="1" t="s">
        <v>130</v>
      </c>
      <c r="G261" s="9">
        <v>451.81818181818181</v>
      </c>
      <c r="H261" s="9">
        <f t="shared" si="5"/>
        <v>497.00000000000006</v>
      </c>
      <c r="J261" s="5"/>
    </row>
    <row r="262" spans="3:10" x14ac:dyDescent="0.7">
      <c r="D262" s="1" t="s">
        <v>62</v>
      </c>
      <c r="E262" s="1" t="s">
        <v>148</v>
      </c>
      <c r="F262" s="1" t="s">
        <v>131</v>
      </c>
      <c r="G262" s="9">
        <v>696.36363636363637</v>
      </c>
      <c r="H262" s="9">
        <f t="shared" si="5"/>
        <v>766.00000000000011</v>
      </c>
      <c r="J262" s="5"/>
    </row>
    <row r="263" spans="3:10" x14ac:dyDescent="0.7">
      <c r="F263" s="1" t="s">
        <v>132</v>
      </c>
      <c r="G263" s="9">
        <v>451.81818181818181</v>
      </c>
      <c r="H263" s="9">
        <f t="shared" si="5"/>
        <v>497.00000000000006</v>
      </c>
      <c r="J263" s="5"/>
    </row>
    <row r="264" spans="3:10" x14ac:dyDescent="0.7">
      <c r="F264" s="1" t="s">
        <v>133</v>
      </c>
      <c r="G264" s="9">
        <v>300</v>
      </c>
      <c r="H264" s="9">
        <f t="shared" si="5"/>
        <v>330</v>
      </c>
      <c r="J264" s="1" t="s">
        <v>209</v>
      </c>
    </row>
    <row r="265" spans="3:10" x14ac:dyDescent="0.7">
      <c r="C265" s="1" t="s">
        <v>0</v>
      </c>
      <c r="D265" s="1" t="s">
        <v>63</v>
      </c>
      <c r="E265" s="1" t="s">
        <v>161</v>
      </c>
      <c r="F265" s="1" t="s">
        <v>162</v>
      </c>
      <c r="G265" s="9">
        <v>708.18181818181813</v>
      </c>
      <c r="H265" s="9">
        <f t="shared" si="5"/>
        <v>779</v>
      </c>
      <c r="J265" s="5"/>
    </row>
    <row r="266" spans="3:10" x14ac:dyDescent="0.7">
      <c r="F266" s="1" t="s">
        <v>163</v>
      </c>
      <c r="G266" s="9">
        <v>566.36363636363637</v>
      </c>
      <c r="H266" s="9">
        <f t="shared" si="5"/>
        <v>623.00000000000011</v>
      </c>
      <c r="J266" s="5"/>
    </row>
    <row r="267" spans="3:10" x14ac:dyDescent="0.7">
      <c r="D267" s="1" t="s">
        <v>63</v>
      </c>
      <c r="E267" s="1" t="s">
        <v>165</v>
      </c>
      <c r="F267" s="1" t="s">
        <v>164</v>
      </c>
      <c r="G267" s="9">
        <v>708.18181818181813</v>
      </c>
      <c r="H267" s="9">
        <f t="shared" si="5"/>
        <v>779</v>
      </c>
      <c r="J267" s="5"/>
    </row>
    <row r="268" spans="3:10" x14ac:dyDescent="0.7">
      <c r="C268" s="1" t="s">
        <v>0</v>
      </c>
      <c r="D268" s="1" t="s">
        <v>64</v>
      </c>
      <c r="E268" s="1" t="s">
        <v>111</v>
      </c>
      <c r="F268" s="1" t="s">
        <v>114</v>
      </c>
      <c r="G268" s="9">
        <v>720</v>
      </c>
      <c r="H268" s="9">
        <f t="shared" si="5"/>
        <v>792.00000000000011</v>
      </c>
    </row>
    <row r="269" spans="3:10" x14ac:dyDescent="0.7">
      <c r="F269" s="1" t="s">
        <v>117</v>
      </c>
      <c r="G269" s="9">
        <v>300</v>
      </c>
      <c r="H269" s="9">
        <f t="shared" si="5"/>
        <v>330</v>
      </c>
      <c r="J269" s="1" t="s">
        <v>209</v>
      </c>
    </row>
    <row r="270" spans="3:10" x14ac:dyDescent="0.7">
      <c r="D270" s="1" t="s">
        <v>64</v>
      </c>
      <c r="E270" s="1" t="s">
        <v>112</v>
      </c>
      <c r="F270" s="1" t="s">
        <v>115</v>
      </c>
      <c r="G270" s="9">
        <v>720</v>
      </c>
      <c r="H270" s="9">
        <f t="shared" si="5"/>
        <v>792.00000000000011</v>
      </c>
    </row>
    <row r="271" spans="3:10" x14ac:dyDescent="0.7">
      <c r="F271" s="1" t="s">
        <v>116</v>
      </c>
      <c r="G271" s="9">
        <v>300</v>
      </c>
      <c r="H271" s="9">
        <f t="shared" si="5"/>
        <v>330</v>
      </c>
      <c r="J271" s="1" t="s">
        <v>209</v>
      </c>
    </row>
    <row r="272" spans="3:10" x14ac:dyDescent="0.7">
      <c r="C272" s="1" t="s">
        <v>0</v>
      </c>
      <c r="D272" s="1" t="s">
        <v>27</v>
      </c>
      <c r="E272" s="1" t="s">
        <v>638</v>
      </c>
      <c r="F272" s="1" t="s">
        <v>632</v>
      </c>
      <c r="G272" s="9">
        <v>744</v>
      </c>
      <c r="H272" s="9">
        <f t="shared" si="5"/>
        <v>818.40000000000009</v>
      </c>
    </row>
    <row r="273" spans="3:8" x14ac:dyDescent="0.7">
      <c r="D273" s="1" t="s">
        <v>27</v>
      </c>
      <c r="E273" s="1" t="s">
        <v>639</v>
      </c>
      <c r="F273" s="1" t="s">
        <v>633</v>
      </c>
      <c r="G273" s="9">
        <v>520</v>
      </c>
      <c r="H273" s="9">
        <f t="shared" si="5"/>
        <v>572</v>
      </c>
    </row>
    <row r="274" spans="3:8" x14ac:dyDescent="0.7">
      <c r="F274" s="1" t="s">
        <v>634</v>
      </c>
      <c r="G274" s="9">
        <v>1041</v>
      </c>
      <c r="H274" s="9">
        <f t="shared" si="5"/>
        <v>1145.1000000000001</v>
      </c>
    </row>
    <row r="275" spans="3:8" x14ac:dyDescent="0.7">
      <c r="D275" s="1" t="s">
        <v>27</v>
      </c>
      <c r="E275" s="1" t="s">
        <v>640</v>
      </c>
      <c r="F275" s="1" t="s">
        <v>635</v>
      </c>
      <c r="G275" s="9">
        <v>744</v>
      </c>
      <c r="H275" s="9">
        <f t="shared" si="5"/>
        <v>818.40000000000009</v>
      </c>
    </row>
    <row r="276" spans="3:8" x14ac:dyDescent="0.7">
      <c r="D276" s="1" t="s">
        <v>27</v>
      </c>
      <c r="E276" s="1" t="s">
        <v>641</v>
      </c>
      <c r="F276" s="1" t="s">
        <v>636</v>
      </c>
      <c r="G276" s="9">
        <v>744</v>
      </c>
      <c r="H276" s="9">
        <f t="shared" si="5"/>
        <v>818.40000000000009</v>
      </c>
    </row>
    <row r="277" spans="3:8" x14ac:dyDescent="0.7">
      <c r="D277" s="1" t="s">
        <v>27</v>
      </c>
      <c r="E277" s="1" t="s">
        <v>642</v>
      </c>
      <c r="F277" s="1" t="s">
        <v>637</v>
      </c>
      <c r="G277" s="9">
        <v>744</v>
      </c>
      <c r="H277" s="9">
        <f t="shared" si="5"/>
        <v>818.40000000000009</v>
      </c>
    </row>
    <row r="278" spans="3:8" x14ac:dyDescent="0.7">
      <c r="C278" s="1" t="s">
        <v>0</v>
      </c>
      <c r="D278" s="1" t="s">
        <v>65</v>
      </c>
      <c r="E278" s="1" t="s">
        <v>653</v>
      </c>
      <c r="F278" s="1" t="s">
        <v>663</v>
      </c>
      <c r="G278" s="9">
        <v>744</v>
      </c>
      <c r="H278" s="9">
        <f t="shared" si="5"/>
        <v>818.40000000000009</v>
      </c>
    </row>
    <row r="279" spans="3:8" x14ac:dyDescent="0.7">
      <c r="D279" s="1" t="s">
        <v>65</v>
      </c>
      <c r="E279" s="1" t="s">
        <v>654</v>
      </c>
      <c r="F279" s="1" t="s">
        <v>664</v>
      </c>
      <c r="G279" s="9">
        <v>744</v>
      </c>
      <c r="H279" s="9">
        <f t="shared" si="5"/>
        <v>818.40000000000009</v>
      </c>
    </row>
    <row r="280" spans="3:8" x14ac:dyDescent="0.7">
      <c r="D280" s="1" t="s">
        <v>65</v>
      </c>
      <c r="E280" s="1" t="s">
        <v>655</v>
      </c>
      <c r="F280" s="1" t="s">
        <v>665</v>
      </c>
      <c r="G280" s="9">
        <v>744</v>
      </c>
      <c r="H280" s="9">
        <f t="shared" si="5"/>
        <v>818.40000000000009</v>
      </c>
    </row>
    <row r="281" spans="3:8" x14ac:dyDescent="0.7">
      <c r="D281" s="1" t="s">
        <v>65</v>
      </c>
      <c r="E281" s="1" t="s">
        <v>656</v>
      </c>
      <c r="F281" s="1" t="s">
        <v>666</v>
      </c>
      <c r="G281" s="9">
        <v>744</v>
      </c>
      <c r="H281" s="9">
        <f t="shared" si="5"/>
        <v>818.40000000000009</v>
      </c>
    </row>
    <row r="282" spans="3:8" x14ac:dyDescent="0.7">
      <c r="D282" s="1" t="s">
        <v>65</v>
      </c>
      <c r="E282" s="1" t="s">
        <v>657</v>
      </c>
      <c r="F282" s="1" t="s">
        <v>667</v>
      </c>
      <c r="G282" s="9">
        <v>744</v>
      </c>
      <c r="H282" s="9">
        <f t="shared" si="5"/>
        <v>818.40000000000009</v>
      </c>
    </row>
    <row r="283" spans="3:8" x14ac:dyDescent="0.7">
      <c r="D283" s="1" t="s">
        <v>65</v>
      </c>
      <c r="E283" s="1" t="s">
        <v>658</v>
      </c>
      <c r="F283" s="1" t="s">
        <v>668</v>
      </c>
      <c r="G283" s="9">
        <v>744</v>
      </c>
      <c r="H283" s="9">
        <f t="shared" si="5"/>
        <v>818.40000000000009</v>
      </c>
    </row>
    <row r="284" spans="3:8" x14ac:dyDescent="0.7">
      <c r="D284" s="1" t="s">
        <v>65</v>
      </c>
      <c r="E284" s="1" t="s">
        <v>659</v>
      </c>
      <c r="F284" s="1" t="s">
        <v>669</v>
      </c>
      <c r="G284" s="9">
        <v>744</v>
      </c>
      <c r="H284" s="9">
        <f t="shared" si="5"/>
        <v>818.40000000000009</v>
      </c>
    </row>
    <row r="285" spans="3:8" x14ac:dyDescent="0.7">
      <c r="D285" s="1" t="s">
        <v>65</v>
      </c>
      <c r="E285" s="1" t="s">
        <v>660</v>
      </c>
      <c r="F285" s="1" t="s">
        <v>670</v>
      </c>
      <c r="G285" s="9">
        <v>744</v>
      </c>
      <c r="H285" s="9">
        <f t="shared" si="5"/>
        <v>818.40000000000009</v>
      </c>
    </row>
    <row r="286" spans="3:8" x14ac:dyDescent="0.7">
      <c r="D286" s="1" t="s">
        <v>65</v>
      </c>
      <c r="E286" s="1" t="s">
        <v>661</v>
      </c>
      <c r="F286" s="1" t="s">
        <v>671</v>
      </c>
      <c r="G286" s="9">
        <v>744</v>
      </c>
      <c r="H286" s="9">
        <f t="shared" si="5"/>
        <v>818.40000000000009</v>
      </c>
    </row>
    <row r="287" spans="3:8" x14ac:dyDescent="0.7">
      <c r="D287" s="1" t="s">
        <v>65</v>
      </c>
      <c r="E287" s="1" t="s">
        <v>662</v>
      </c>
      <c r="F287" s="1" t="s">
        <v>672</v>
      </c>
      <c r="G287" s="9">
        <v>744</v>
      </c>
      <c r="H287" s="9">
        <f t="shared" si="5"/>
        <v>818.40000000000009</v>
      </c>
    </row>
    <row r="288" spans="3:8" x14ac:dyDescent="0.7">
      <c r="C288" s="1" t="s">
        <v>0</v>
      </c>
      <c r="D288" s="1" t="s">
        <v>26</v>
      </c>
      <c r="E288" s="1" t="s">
        <v>644</v>
      </c>
      <c r="F288" s="1" t="s">
        <v>643</v>
      </c>
      <c r="G288" s="9">
        <v>620</v>
      </c>
      <c r="H288" s="9">
        <f t="shared" si="5"/>
        <v>682</v>
      </c>
    </row>
    <row r="289" spans="3:8" x14ac:dyDescent="0.7">
      <c r="C289" s="1" t="s">
        <v>0</v>
      </c>
      <c r="D289" s="1" t="s">
        <v>645</v>
      </c>
      <c r="E289" s="1" t="s">
        <v>646</v>
      </c>
      <c r="F289" s="1" t="s">
        <v>650</v>
      </c>
      <c r="G289" s="9">
        <v>650</v>
      </c>
      <c r="H289" s="9">
        <f t="shared" si="5"/>
        <v>715.00000000000011</v>
      </c>
    </row>
    <row r="290" spans="3:8" x14ac:dyDescent="0.7">
      <c r="D290" s="1" t="s">
        <v>645</v>
      </c>
      <c r="E290" s="1" t="s">
        <v>649</v>
      </c>
      <c r="F290" s="1" t="s">
        <v>651</v>
      </c>
      <c r="G290" s="9">
        <v>650</v>
      </c>
      <c r="H290" s="9">
        <f t="shared" si="5"/>
        <v>715.00000000000011</v>
      </c>
    </row>
    <row r="291" spans="3:8" x14ac:dyDescent="0.7">
      <c r="C291" s="1" t="s">
        <v>0</v>
      </c>
      <c r="D291" s="1" t="s">
        <v>647</v>
      </c>
      <c r="E291" s="1" t="s">
        <v>648</v>
      </c>
      <c r="F291" s="1" t="s">
        <v>652</v>
      </c>
      <c r="G291" s="9">
        <v>650</v>
      </c>
      <c r="H291" s="9">
        <f t="shared" si="5"/>
        <v>715.00000000000011</v>
      </c>
    </row>
    <row r="292" spans="3:8" x14ac:dyDescent="0.7">
      <c r="C292" s="1" t="s">
        <v>0</v>
      </c>
      <c r="D292" s="1" t="s">
        <v>66</v>
      </c>
      <c r="G292" s="9"/>
      <c r="H292" s="9">
        <f t="shared" si="5"/>
        <v>0</v>
      </c>
    </row>
    <row r="293" spans="3:8" x14ac:dyDescent="0.7">
      <c r="C293" s="1" t="s">
        <v>0</v>
      </c>
      <c r="D293" s="1" t="s">
        <v>67</v>
      </c>
      <c r="E293" s="1" t="s">
        <v>473</v>
      </c>
      <c r="F293" s="1" t="s">
        <v>481</v>
      </c>
      <c r="G293" s="9">
        <v>700</v>
      </c>
      <c r="H293" s="9">
        <f t="shared" si="5"/>
        <v>770.00000000000011</v>
      </c>
    </row>
    <row r="294" spans="3:8" x14ac:dyDescent="0.7">
      <c r="F294" s="1" t="s">
        <v>482</v>
      </c>
      <c r="G294" s="9">
        <v>1400</v>
      </c>
      <c r="H294" s="9">
        <f t="shared" si="5"/>
        <v>1540.0000000000002</v>
      </c>
    </row>
    <row r="295" spans="3:8" x14ac:dyDescent="0.7">
      <c r="F295" s="1" t="s">
        <v>483</v>
      </c>
      <c r="G295" s="9">
        <v>490</v>
      </c>
      <c r="H295" s="9">
        <f t="shared" si="5"/>
        <v>539</v>
      </c>
    </row>
    <row r="296" spans="3:8" x14ac:dyDescent="0.7">
      <c r="D296" s="1" t="s">
        <v>67</v>
      </c>
      <c r="E296" s="1" t="s">
        <v>474</v>
      </c>
      <c r="F296" s="1" t="s">
        <v>484</v>
      </c>
      <c r="G296" s="9">
        <v>490</v>
      </c>
      <c r="H296" s="9">
        <f t="shared" si="5"/>
        <v>539</v>
      </c>
    </row>
    <row r="297" spans="3:8" x14ac:dyDescent="0.7">
      <c r="F297" s="1" t="s">
        <v>479</v>
      </c>
      <c r="G297" s="9">
        <v>980</v>
      </c>
      <c r="H297" s="9">
        <f t="shared" si="5"/>
        <v>1078</v>
      </c>
    </row>
    <row r="298" spans="3:8" x14ac:dyDescent="0.7">
      <c r="F298" s="1" t="s">
        <v>480</v>
      </c>
      <c r="G298" s="9">
        <v>490</v>
      </c>
      <c r="H298" s="9">
        <f t="shared" si="5"/>
        <v>539</v>
      </c>
    </row>
    <row r="299" spans="3:8" x14ac:dyDescent="0.7">
      <c r="D299" s="1" t="s">
        <v>67</v>
      </c>
      <c r="E299" s="1" t="s">
        <v>475</v>
      </c>
      <c r="F299" s="1" t="s">
        <v>476</v>
      </c>
      <c r="G299" s="9">
        <v>700</v>
      </c>
      <c r="H299" s="9">
        <f t="shared" si="5"/>
        <v>770.00000000000011</v>
      </c>
    </row>
    <row r="300" spans="3:8" x14ac:dyDescent="0.7">
      <c r="F300" s="1" t="s">
        <v>477</v>
      </c>
      <c r="G300" s="9">
        <v>1400</v>
      </c>
      <c r="H300" s="9">
        <f t="shared" si="5"/>
        <v>1540.0000000000002</v>
      </c>
    </row>
    <row r="301" spans="3:8" x14ac:dyDescent="0.7">
      <c r="F301" s="1" t="s">
        <v>478</v>
      </c>
      <c r="G301" s="9">
        <v>490</v>
      </c>
      <c r="H301" s="9">
        <f t="shared" si="5"/>
        <v>539</v>
      </c>
    </row>
    <row r="302" spans="3:8" x14ac:dyDescent="0.7">
      <c r="C302" s="1" t="s">
        <v>0</v>
      </c>
      <c r="D302" s="1" t="s">
        <v>68</v>
      </c>
      <c r="E302" s="1" t="s">
        <v>467</v>
      </c>
      <c r="F302" s="1" t="s">
        <v>468</v>
      </c>
      <c r="G302" s="9">
        <v>700</v>
      </c>
      <c r="H302" s="9">
        <f t="shared" si="5"/>
        <v>770.00000000000011</v>
      </c>
    </row>
    <row r="303" spans="3:8" x14ac:dyDescent="0.7">
      <c r="F303" s="1" t="s">
        <v>469</v>
      </c>
      <c r="G303" s="9">
        <v>490</v>
      </c>
      <c r="H303" s="9">
        <f t="shared" si="5"/>
        <v>539</v>
      </c>
    </row>
    <row r="304" spans="3:8" x14ac:dyDescent="0.7">
      <c r="D304" s="1" t="s">
        <v>68</v>
      </c>
      <c r="E304" s="1" t="s">
        <v>470</v>
      </c>
      <c r="F304" s="1" t="s">
        <v>471</v>
      </c>
      <c r="G304" s="9">
        <v>700</v>
      </c>
      <c r="H304" s="9">
        <f t="shared" si="5"/>
        <v>770.00000000000011</v>
      </c>
    </row>
    <row r="305" spans="3:10" x14ac:dyDescent="0.7">
      <c r="F305" s="1" t="s">
        <v>472</v>
      </c>
      <c r="G305" s="9">
        <v>490</v>
      </c>
      <c r="H305" s="9">
        <f t="shared" si="5"/>
        <v>539</v>
      </c>
    </row>
    <row r="308" spans="3:10" x14ac:dyDescent="0.45">
      <c r="C308" s="1" t="s">
        <v>1</v>
      </c>
      <c r="D308" s="10" t="s">
        <v>565</v>
      </c>
      <c r="E308" s="10" t="s">
        <v>566</v>
      </c>
      <c r="F308" s="10" t="s">
        <v>570</v>
      </c>
      <c r="G308" s="9">
        <v>909.09090909090901</v>
      </c>
      <c r="H308" s="9">
        <f t="shared" ref="H308:H371" si="6">G308*1.1</f>
        <v>1000</v>
      </c>
      <c r="J308" s="11"/>
    </row>
    <row r="309" spans="3:10" x14ac:dyDescent="0.45">
      <c r="D309" s="10" t="s">
        <v>565</v>
      </c>
      <c r="E309" s="10" t="s">
        <v>567</v>
      </c>
      <c r="F309" s="10" t="s">
        <v>570</v>
      </c>
      <c r="G309" s="9">
        <v>909.09090909090901</v>
      </c>
      <c r="H309" s="9">
        <f t="shared" si="6"/>
        <v>1000</v>
      </c>
      <c r="J309" s="11"/>
    </row>
    <row r="310" spans="3:10" x14ac:dyDescent="0.45">
      <c r="D310" s="10" t="s">
        <v>565</v>
      </c>
      <c r="E310" s="10" t="s">
        <v>568</v>
      </c>
      <c r="F310" s="10" t="s">
        <v>570</v>
      </c>
      <c r="G310" s="9">
        <v>727.27272727272737</v>
      </c>
      <c r="H310" s="9">
        <f t="shared" si="6"/>
        <v>800.00000000000011</v>
      </c>
      <c r="J310" s="11"/>
    </row>
    <row r="311" spans="3:10" x14ac:dyDescent="0.45">
      <c r="D311" s="10" t="s">
        <v>565</v>
      </c>
      <c r="E311" s="10" t="s">
        <v>569</v>
      </c>
      <c r="F311" s="10" t="s">
        <v>570</v>
      </c>
      <c r="G311" s="9">
        <v>909.09090909090901</v>
      </c>
      <c r="H311" s="9">
        <f t="shared" si="6"/>
        <v>1000</v>
      </c>
      <c r="J311" s="11"/>
    </row>
    <row r="312" spans="3:10" x14ac:dyDescent="0.45">
      <c r="C312" s="1" t="s">
        <v>1</v>
      </c>
      <c r="D312" s="10" t="s">
        <v>571</v>
      </c>
      <c r="E312" s="10"/>
      <c r="F312" s="10" t="s">
        <v>572</v>
      </c>
      <c r="G312" s="9">
        <v>991.81818181818187</v>
      </c>
      <c r="H312" s="9">
        <f t="shared" si="6"/>
        <v>1091.0000000000002</v>
      </c>
      <c r="J312" s="11"/>
    </row>
    <row r="313" spans="3:10" x14ac:dyDescent="0.45">
      <c r="D313" s="10"/>
      <c r="E313" s="10"/>
      <c r="F313" s="10" t="s">
        <v>573</v>
      </c>
      <c r="G313" s="9">
        <v>1107.2727272727273</v>
      </c>
      <c r="H313" s="9">
        <f t="shared" si="6"/>
        <v>1218</v>
      </c>
      <c r="J313" s="11"/>
    </row>
    <row r="314" spans="3:10" x14ac:dyDescent="0.45">
      <c r="D314" s="10"/>
      <c r="E314" s="10"/>
      <c r="F314" s="10" t="s">
        <v>574</v>
      </c>
      <c r="G314" s="9">
        <v>454.5454545454545</v>
      </c>
      <c r="H314" s="9">
        <f t="shared" si="6"/>
        <v>500</v>
      </c>
      <c r="J314" s="11"/>
    </row>
    <row r="315" spans="3:10" x14ac:dyDescent="0.45">
      <c r="D315" s="10"/>
      <c r="E315" s="10"/>
      <c r="F315" s="10" t="s">
        <v>575</v>
      </c>
      <c r="G315" s="9">
        <v>181.81818181818184</v>
      </c>
      <c r="H315" s="9">
        <f t="shared" si="6"/>
        <v>200.00000000000003</v>
      </c>
      <c r="J315" s="11"/>
    </row>
    <row r="316" spans="3:10" x14ac:dyDescent="0.45">
      <c r="D316" s="10"/>
      <c r="E316" s="10"/>
      <c r="F316" s="10" t="s">
        <v>576</v>
      </c>
      <c r="G316" s="9">
        <v>181.81818181818184</v>
      </c>
      <c r="H316" s="9">
        <f t="shared" si="6"/>
        <v>200.00000000000003</v>
      </c>
      <c r="J316" s="11"/>
    </row>
    <row r="317" spans="3:10" x14ac:dyDescent="0.45">
      <c r="D317" s="10"/>
      <c r="E317" s="10"/>
      <c r="F317" s="10" t="s">
        <v>577</v>
      </c>
      <c r="G317" s="9">
        <v>181.81818181818184</v>
      </c>
      <c r="H317" s="9">
        <f t="shared" si="6"/>
        <v>200.00000000000003</v>
      </c>
      <c r="J317" s="11"/>
    </row>
    <row r="318" spans="3:10" x14ac:dyDescent="0.45">
      <c r="D318" s="10"/>
      <c r="E318" s="10"/>
      <c r="F318" s="10" t="s">
        <v>578</v>
      </c>
      <c r="G318" s="9">
        <v>181.81818181818184</v>
      </c>
      <c r="H318" s="9">
        <f t="shared" si="6"/>
        <v>200.00000000000003</v>
      </c>
      <c r="J318" s="11"/>
    </row>
    <row r="319" spans="3:10" x14ac:dyDescent="0.45">
      <c r="D319" s="10"/>
      <c r="E319" s="10"/>
      <c r="F319" s="10" t="s">
        <v>579</v>
      </c>
      <c r="G319" s="9">
        <v>181.81818181818184</v>
      </c>
      <c r="H319" s="9">
        <f t="shared" si="6"/>
        <v>200.00000000000003</v>
      </c>
      <c r="J319" s="11"/>
    </row>
    <row r="320" spans="3:10" x14ac:dyDescent="0.45">
      <c r="C320" s="1" t="s">
        <v>1</v>
      </c>
      <c r="D320" s="10" t="s">
        <v>603</v>
      </c>
      <c r="E320" s="10" t="s">
        <v>604</v>
      </c>
      <c r="F320" s="10" t="s">
        <v>581</v>
      </c>
      <c r="G320" s="9">
        <v>818.18181818181813</v>
      </c>
      <c r="H320" s="9">
        <f t="shared" si="6"/>
        <v>900</v>
      </c>
      <c r="J320" s="11"/>
    </row>
    <row r="321" spans="4:10" x14ac:dyDescent="0.45">
      <c r="D321" s="10"/>
      <c r="E321" s="10"/>
      <c r="F321" s="10" t="s">
        <v>580</v>
      </c>
      <c r="G321" s="9">
        <v>454.5454545454545</v>
      </c>
      <c r="H321" s="9">
        <f t="shared" si="6"/>
        <v>500</v>
      </c>
      <c r="J321" s="11"/>
    </row>
    <row r="322" spans="4:10" x14ac:dyDescent="0.45">
      <c r="D322" s="10"/>
      <c r="E322" s="10"/>
      <c r="F322" s="10" t="s">
        <v>582</v>
      </c>
      <c r="G322" s="9">
        <v>1363.6363636363637</v>
      </c>
      <c r="H322" s="9">
        <f t="shared" si="6"/>
        <v>1500.0000000000002</v>
      </c>
      <c r="J322" s="11" t="s">
        <v>588</v>
      </c>
    </row>
    <row r="323" spans="4:10" x14ac:dyDescent="0.45">
      <c r="D323" s="10"/>
      <c r="E323" s="10"/>
      <c r="F323" s="10" t="s">
        <v>583</v>
      </c>
      <c r="G323" s="9">
        <v>818.18181818181813</v>
      </c>
      <c r="H323" s="9">
        <f t="shared" si="6"/>
        <v>900</v>
      </c>
      <c r="J323" s="11" t="s">
        <v>588</v>
      </c>
    </row>
    <row r="324" spans="4:10" x14ac:dyDescent="0.45">
      <c r="D324" s="10"/>
      <c r="E324" s="10"/>
      <c r="F324" s="10" t="s">
        <v>584</v>
      </c>
      <c r="G324" s="9">
        <v>1363.6363636363637</v>
      </c>
      <c r="H324" s="9">
        <f t="shared" si="6"/>
        <v>1500.0000000000002</v>
      </c>
      <c r="J324" s="11" t="s">
        <v>588</v>
      </c>
    </row>
    <row r="325" spans="4:10" x14ac:dyDescent="0.45">
      <c r="D325" s="10"/>
      <c r="E325" s="10"/>
      <c r="F325" s="10" t="s">
        <v>585</v>
      </c>
      <c r="G325" s="9">
        <v>1363.6363636363637</v>
      </c>
      <c r="H325" s="9">
        <f t="shared" si="6"/>
        <v>1500.0000000000002</v>
      </c>
      <c r="J325" s="1" t="s">
        <v>525</v>
      </c>
    </row>
    <row r="326" spans="4:10" x14ac:dyDescent="0.45">
      <c r="D326" s="10"/>
      <c r="E326" s="10"/>
      <c r="F326" s="10" t="s">
        <v>586</v>
      </c>
      <c r="G326" s="9">
        <v>2727.2727272727275</v>
      </c>
      <c r="H326" s="9">
        <f t="shared" si="6"/>
        <v>3000.0000000000005</v>
      </c>
      <c r="J326" s="1" t="s">
        <v>594</v>
      </c>
    </row>
    <row r="327" spans="4:10" x14ac:dyDescent="0.45">
      <c r="D327" s="10"/>
      <c r="E327" s="10"/>
      <c r="F327" s="10" t="s">
        <v>577</v>
      </c>
      <c r="G327" s="9">
        <v>181.81818181818184</v>
      </c>
      <c r="H327" s="9">
        <f t="shared" si="6"/>
        <v>200.00000000000003</v>
      </c>
      <c r="J327" s="8"/>
    </row>
    <row r="328" spans="4:10" x14ac:dyDescent="0.45">
      <c r="D328" s="10"/>
      <c r="E328" s="10"/>
      <c r="F328" s="10" t="s">
        <v>578</v>
      </c>
      <c r="G328" s="9">
        <v>181.81818181818184</v>
      </c>
      <c r="H328" s="9">
        <f t="shared" si="6"/>
        <v>200.00000000000003</v>
      </c>
      <c r="J328" s="11"/>
    </row>
    <row r="329" spans="4:10" x14ac:dyDescent="0.45">
      <c r="D329" s="10"/>
      <c r="E329" s="10"/>
      <c r="F329" s="10" t="s">
        <v>579</v>
      </c>
      <c r="G329" s="9">
        <v>181.81818181818184</v>
      </c>
      <c r="H329" s="9">
        <f t="shared" si="6"/>
        <v>200.00000000000003</v>
      </c>
      <c r="J329" s="11"/>
    </row>
    <row r="330" spans="4:10" x14ac:dyDescent="0.45">
      <c r="D330" s="10" t="s">
        <v>603</v>
      </c>
      <c r="E330" s="10" t="s">
        <v>605</v>
      </c>
      <c r="F330" s="10" t="s">
        <v>581</v>
      </c>
      <c r="G330" s="9">
        <v>1090.909090909091</v>
      </c>
      <c r="H330" s="9">
        <f t="shared" si="6"/>
        <v>1200.0000000000002</v>
      </c>
      <c r="J330" s="11"/>
    </row>
    <row r="331" spans="4:10" x14ac:dyDescent="0.45">
      <c r="D331" s="10"/>
      <c r="E331" s="10"/>
      <c r="F331" s="10" t="s">
        <v>582</v>
      </c>
      <c r="G331" s="9">
        <v>1636.3636363636363</v>
      </c>
      <c r="H331" s="9">
        <f t="shared" si="6"/>
        <v>1800</v>
      </c>
      <c r="J331" s="11"/>
    </row>
    <row r="332" spans="4:10" x14ac:dyDescent="0.45">
      <c r="D332" s="10"/>
      <c r="E332" s="10"/>
      <c r="F332" s="10" t="s">
        <v>578</v>
      </c>
      <c r="G332" s="9">
        <v>181.81818181818184</v>
      </c>
      <c r="H332" s="9">
        <f t="shared" si="6"/>
        <v>200.00000000000003</v>
      </c>
      <c r="J332" s="11"/>
    </row>
    <row r="333" spans="4:10" x14ac:dyDescent="0.45">
      <c r="D333" s="10"/>
      <c r="E333" s="10"/>
      <c r="F333" s="10" t="s">
        <v>577</v>
      </c>
      <c r="G333" s="9">
        <v>181.81818181818184</v>
      </c>
      <c r="H333" s="9">
        <f t="shared" si="6"/>
        <v>200.00000000000003</v>
      </c>
      <c r="J333" s="11"/>
    </row>
    <row r="334" spans="4:10" x14ac:dyDescent="0.45">
      <c r="D334" s="10"/>
      <c r="E334" s="10"/>
      <c r="F334" s="10" t="s">
        <v>586</v>
      </c>
      <c r="G334" s="9">
        <v>2727.2727272727275</v>
      </c>
      <c r="H334" s="9">
        <f t="shared" si="6"/>
        <v>3000.0000000000005</v>
      </c>
      <c r="J334" s="1" t="s">
        <v>594</v>
      </c>
    </row>
    <row r="335" spans="4:10" x14ac:dyDescent="0.45">
      <c r="D335" s="10" t="s">
        <v>603</v>
      </c>
      <c r="E335" s="10" t="s">
        <v>629</v>
      </c>
      <c r="F335" s="10" t="s">
        <v>581</v>
      </c>
      <c r="G335" s="9">
        <v>1000</v>
      </c>
      <c r="H335" s="9">
        <f t="shared" si="6"/>
        <v>1100</v>
      </c>
      <c r="J335" s="11"/>
    </row>
    <row r="336" spans="4:10" x14ac:dyDescent="0.45">
      <c r="D336" s="10"/>
      <c r="E336" s="10"/>
      <c r="F336" s="10" t="s">
        <v>586</v>
      </c>
      <c r="G336" s="9">
        <v>2727.2727272727275</v>
      </c>
      <c r="H336" s="9">
        <f t="shared" si="6"/>
        <v>3000.0000000000005</v>
      </c>
      <c r="J336" s="1" t="s">
        <v>594</v>
      </c>
    </row>
    <row r="337" spans="3:10" x14ac:dyDescent="0.45">
      <c r="C337" s="1" t="s">
        <v>1</v>
      </c>
      <c r="D337" s="10" t="s">
        <v>593</v>
      </c>
      <c r="E337" s="10"/>
      <c r="F337" s="10" t="s">
        <v>589</v>
      </c>
      <c r="G337" s="9">
        <v>909.09090909090901</v>
      </c>
      <c r="H337" s="9">
        <f t="shared" si="6"/>
        <v>1000</v>
      </c>
      <c r="J337" s="11"/>
    </row>
    <row r="338" spans="3:10" x14ac:dyDescent="0.45">
      <c r="D338" s="10"/>
      <c r="E338" s="10"/>
      <c r="F338" s="10" t="s">
        <v>590</v>
      </c>
      <c r="G338" s="9">
        <v>636.36363636363637</v>
      </c>
      <c r="H338" s="9">
        <f t="shared" si="6"/>
        <v>700.00000000000011</v>
      </c>
      <c r="J338" s="11"/>
    </row>
    <row r="339" spans="3:10" x14ac:dyDescent="0.45">
      <c r="D339" s="10"/>
      <c r="E339" s="10"/>
      <c r="F339" s="10" t="s">
        <v>591</v>
      </c>
      <c r="G339" s="9">
        <v>454.5454545454545</v>
      </c>
      <c r="H339" s="9">
        <f t="shared" si="6"/>
        <v>500</v>
      </c>
      <c r="J339" s="11"/>
    </row>
    <row r="340" spans="3:10" x14ac:dyDescent="0.45">
      <c r="D340" s="10"/>
      <c r="E340" s="10"/>
      <c r="F340" s="10" t="s">
        <v>592</v>
      </c>
      <c r="G340" s="9">
        <v>909.09090909090901</v>
      </c>
      <c r="H340" s="9">
        <f t="shared" si="6"/>
        <v>1000</v>
      </c>
      <c r="J340" s="11"/>
    </row>
    <row r="341" spans="3:10" x14ac:dyDescent="0.45">
      <c r="C341" s="1" t="s">
        <v>1</v>
      </c>
      <c r="D341" s="10" t="s">
        <v>534</v>
      </c>
      <c r="E341" s="10"/>
      <c r="F341" s="10" t="s">
        <v>595</v>
      </c>
      <c r="G341" s="9">
        <v>909.09090909090901</v>
      </c>
      <c r="H341" s="9">
        <f t="shared" si="6"/>
        <v>1000</v>
      </c>
      <c r="J341" s="11"/>
    </row>
    <row r="342" spans="3:10" x14ac:dyDescent="0.45">
      <c r="D342" s="10"/>
      <c r="E342" s="10"/>
      <c r="F342" s="10" t="s">
        <v>577</v>
      </c>
      <c r="G342" s="9">
        <v>181.81818181818184</v>
      </c>
      <c r="H342" s="9">
        <f t="shared" si="6"/>
        <v>200.00000000000003</v>
      </c>
      <c r="J342" s="11"/>
    </row>
    <row r="343" spans="3:10" x14ac:dyDescent="0.45">
      <c r="D343" s="10"/>
      <c r="E343" s="10"/>
      <c r="F343" s="10" t="s">
        <v>578</v>
      </c>
      <c r="G343" s="9">
        <v>181.81818181818184</v>
      </c>
      <c r="H343" s="9">
        <f t="shared" si="6"/>
        <v>200.00000000000003</v>
      </c>
      <c r="J343" s="11"/>
    </row>
    <row r="344" spans="3:10" x14ac:dyDescent="0.45">
      <c r="D344" s="10"/>
      <c r="E344" s="10"/>
      <c r="F344" s="10" t="s">
        <v>579</v>
      </c>
      <c r="G344" s="9">
        <v>181.81818181818184</v>
      </c>
      <c r="H344" s="9">
        <f t="shared" si="6"/>
        <v>200.00000000000003</v>
      </c>
      <c r="J344" s="11"/>
    </row>
    <row r="345" spans="3:10" x14ac:dyDescent="0.45">
      <c r="D345" s="10"/>
      <c r="E345" s="10"/>
      <c r="F345" s="10" t="s">
        <v>591</v>
      </c>
      <c r="G345" s="9">
        <v>454.5454545454545</v>
      </c>
      <c r="H345" s="9">
        <f t="shared" si="6"/>
        <v>500</v>
      </c>
      <c r="J345" s="11"/>
    </row>
    <row r="346" spans="3:10" x14ac:dyDescent="0.45">
      <c r="C346" s="1" t="s">
        <v>1</v>
      </c>
      <c r="D346" s="10" t="s">
        <v>601</v>
      </c>
      <c r="E346" s="10" t="s">
        <v>599</v>
      </c>
      <c r="F346" s="10" t="s">
        <v>589</v>
      </c>
      <c r="G346" s="9">
        <v>909.09090909090901</v>
      </c>
      <c r="H346" s="9">
        <f t="shared" si="6"/>
        <v>1000</v>
      </c>
      <c r="J346" s="11"/>
    </row>
    <row r="347" spans="3:10" x14ac:dyDescent="0.45">
      <c r="D347" s="10"/>
      <c r="E347" s="10"/>
      <c r="F347" s="10" t="s">
        <v>590</v>
      </c>
      <c r="G347" s="9">
        <v>545.4545454545455</v>
      </c>
      <c r="H347" s="9">
        <f t="shared" si="6"/>
        <v>600.00000000000011</v>
      </c>
      <c r="J347" s="11"/>
    </row>
    <row r="348" spans="3:10" x14ac:dyDescent="0.45">
      <c r="D348" s="10"/>
      <c r="E348" s="10"/>
      <c r="F348" s="10" t="s">
        <v>522</v>
      </c>
      <c r="G348" s="9">
        <v>954.5454545454545</v>
      </c>
      <c r="H348" s="9">
        <f t="shared" si="6"/>
        <v>1050</v>
      </c>
      <c r="J348" s="11"/>
    </row>
    <row r="349" spans="3:10" x14ac:dyDescent="0.45">
      <c r="D349" s="10"/>
      <c r="E349" s="10"/>
      <c r="F349" s="10" t="s">
        <v>596</v>
      </c>
      <c r="G349" s="9">
        <v>909.09090909090901</v>
      </c>
      <c r="H349" s="9">
        <f t="shared" si="6"/>
        <v>1000</v>
      </c>
      <c r="J349" s="1" t="s">
        <v>598</v>
      </c>
    </row>
    <row r="350" spans="3:10" x14ac:dyDescent="0.45">
      <c r="D350" s="10"/>
      <c r="E350" s="10"/>
      <c r="F350" s="10" t="s">
        <v>597</v>
      </c>
      <c r="G350" s="9">
        <v>1363.6363636363637</v>
      </c>
      <c r="H350" s="9">
        <f t="shared" si="6"/>
        <v>1500.0000000000002</v>
      </c>
      <c r="J350" s="11"/>
    </row>
    <row r="351" spans="3:10" x14ac:dyDescent="0.45">
      <c r="D351" s="10"/>
      <c r="E351" s="10"/>
      <c r="F351" s="10" t="s">
        <v>576</v>
      </c>
      <c r="G351" s="9">
        <v>90.909090909090921</v>
      </c>
      <c r="H351" s="9">
        <f t="shared" si="6"/>
        <v>100.00000000000001</v>
      </c>
      <c r="J351" s="11"/>
    </row>
    <row r="352" spans="3:10" x14ac:dyDescent="0.45">
      <c r="D352" s="10"/>
      <c r="E352" s="10"/>
      <c r="F352" s="10" t="s">
        <v>586</v>
      </c>
      <c r="G352" s="9">
        <v>4545.454545454546</v>
      </c>
      <c r="H352" s="9">
        <f t="shared" si="6"/>
        <v>5000.0000000000009</v>
      </c>
      <c r="J352" s="11"/>
    </row>
    <row r="353" spans="4:10" x14ac:dyDescent="0.45">
      <c r="D353" s="10" t="s">
        <v>601</v>
      </c>
      <c r="E353" s="10" t="s">
        <v>600</v>
      </c>
      <c r="F353" s="10" t="s">
        <v>589</v>
      </c>
      <c r="G353" s="9">
        <v>909.09090909090901</v>
      </c>
      <c r="H353" s="9">
        <f t="shared" si="6"/>
        <v>1000</v>
      </c>
      <c r="J353" s="11"/>
    </row>
    <row r="354" spans="4:10" x14ac:dyDescent="0.45">
      <c r="D354" s="10"/>
      <c r="E354" s="10"/>
      <c r="F354" s="10" t="s">
        <v>590</v>
      </c>
      <c r="G354" s="9">
        <v>545.4545454545455</v>
      </c>
      <c r="H354" s="9">
        <f t="shared" si="6"/>
        <v>600.00000000000011</v>
      </c>
      <c r="J354" s="11"/>
    </row>
    <row r="355" spans="4:10" x14ac:dyDescent="0.45">
      <c r="D355" s="10"/>
      <c r="E355" s="10"/>
      <c r="F355" s="10" t="s">
        <v>522</v>
      </c>
      <c r="G355" s="9">
        <v>954.5454545454545</v>
      </c>
      <c r="H355" s="9">
        <f t="shared" si="6"/>
        <v>1050</v>
      </c>
      <c r="J355" s="11"/>
    </row>
    <row r="356" spans="4:10" x14ac:dyDescent="0.45">
      <c r="D356" s="10"/>
      <c r="E356" s="10"/>
      <c r="F356" s="10" t="s">
        <v>596</v>
      </c>
      <c r="G356" s="9">
        <v>909.09090909090901</v>
      </c>
      <c r="H356" s="9">
        <f t="shared" si="6"/>
        <v>1000</v>
      </c>
      <c r="J356" s="11"/>
    </row>
    <row r="357" spans="4:10" x14ac:dyDescent="0.45">
      <c r="D357" s="10"/>
      <c r="E357" s="10"/>
      <c r="F357" s="10" t="s">
        <v>586</v>
      </c>
      <c r="G357" s="9">
        <v>4545.454545454546</v>
      </c>
      <c r="H357" s="9">
        <f t="shared" si="6"/>
        <v>5000.0000000000009</v>
      </c>
      <c r="J357" s="11"/>
    </row>
    <row r="358" spans="4:10" x14ac:dyDescent="0.45">
      <c r="D358" s="10" t="s">
        <v>601</v>
      </c>
      <c r="E358" s="10" t="s">
        <v>602</v>
      </c>
      <c r="F358" s="10" t="s">
        <v>609</v>
      </c>
      <c r="G358" s="9">
        <v>909.09090909090901</v>
      </c>
      <c r="H358" s="9">
        <f t="shared" si="6"/>
        <v>1000</v>
      </c>
      <c r="J358" s="11"/>
    </row>
    <row r="359" spans="4:10" x14ac:dyDescent="0.45">
      <c r="D359" s="10"/>
      <c r="E359" s="10"/>
      <c r="F359" s="10" t="s">
        <v>610</v>
      </c>
      <c r="G359" s="9">
        <v>454.5454545454545</v>
      </c>
      <c r="H359" s="9">
        <f t="shared" si="6"/>
        <v>500</v>
      </c>
      <c r="J359" s="11"/>
    </row>
    <row r="360" spans="4:10" x14ac:dyDescent="0.45">
      <c r="D360" s="10"/>
      <c r="E360" s="10"/>
      <c r="F360" s="10" t="s">
        <v>611</v>
      </c>
      <c r="G360" s="9">
        <v>1363.6363636363637</v>
      </c>
      <c r="H360" s="9">
        <f t="shared" si="6"/>
        <v>1500.0000000000002</v>
      </c>
      <c r="J360" s="11" t="s">
        <v>612</v>
      </c>
    </row>
    <row r="361" spans="4:10" x14ac:dyDescent="0.45">
      <c r="D361" s="10"/>
      <c r="E361" s="10"/>
      <c r="F361" s="10" t="s">
        <v>613</v>
      </c>
      <c r="G361" s="9">
        <v>909.09090909090901</v>
      </c>
      <c r="H361" s="9">
        <f t="shared" si="6"/>
        <v>1000</v>
      </c>
      <c r="J361" s="11"/>
    </row>
    <row r="362" spans="4:10" x14ac:dyDescent="0.45">
      <c r="D362" s="10"/>
      <c r="E362" s="10"/>
      <c r="F362" s="10" t="s">
        <v>614</v>
      </c>
      <c r="G362" s="9">
        <v>1363.6363636363637</v>
      </c>
      <c r="H362" s="9">
        <f t="shared" si="6"/>
        <v>1500.0000000000002</v>
      </c>
      <c r="J362" s="11"/>
    </row>
    <row r="363" spans="4:10" x14ac:dyDescent="0.45">
      <c r="D363" s="10"/>
      <c r="E363" s="10"/>
      <c r="F363" s="10" t="s">
        <v>615</v>
      </c>
      <c r="G363" s="9">
        <v>1090.909090909091</v>
      </c>
      <c r="H363" s="9">
        <f t="shared" si="6"/>
        <v>1200.0000000000002</v>
      </c>
      <c r="J363" s="11"/>
    </row>
    <row r="364" spans="4:10" x14ac:dyDescent="0.45">
      <c r="D364" s="10"/>
      <c r="E364" s="10"/>
      <c r="F364" s="10" t="s">
        <v>591</v>
      </c>
      <c r="G364" s="9">
        <v>454.5454545454545</v>
      </c>
      <c r="H364" s="9">
        <f t="shared" si="6"/>
        <v>500</v>
      </c>
      <c r="J364" s="11"/>
    </row>
    <row r="365" spans="4:10" x14ac:dyDescent="0.45">
      <c r="D365" s="10"/>
      <c r="E365" s="10"/>
      <c r="F365" s="10" t="s">
        <v>586</v>
      </c>
      <c r="G365" s="9">
        <v>4545.454545454546</v>
      </c>
      <c r="H365" s="9">
        <f t="shared" si="6"/>
        <v>5000.0000000000009</v>
      </c>
      <c r="J365" s="11"/>
    </row>
    <row r="366" spans="4:10" x14ac:dyDescent="0.45">
      <c r="D366" s="10"/>
      <c r="E366" s="10"/>
      <c r="F366" s="10" t="s">
        <v>616</v>
      </c>
      <c r="G366" s="9">
        <v>454.5454545454545</v>
      </c>
      <c r="H366" s="9">
        <f t="shared" si="6"/>
        <v>500</v>
      </c>
      <c r="J366" s="11"/>
    </row>
    <row r="367" spans="4:10" x14ac:dyDescent="0.45">
      <c r="D367" s="10" t="s">
        <v>601</v>
      </c>
      <c r="E367" s="10" t="s">
        <v>606</v>
      </c>
      <c r="F367" s="10" t="s">
        <v>609</v>
      </c>
      <c r="G367" s="9">
        <v>909.09090909090901</v>
      </c>
      <c r="H367" s="9">
        <f t="shared" si="6"/>
        <v>1000</v>
      </c>
      <c r="J367" s="11"/>
    </row>
    <row r="368" spans="4:10" x14ac:dyDescent="0.45">
      <c r="D368" s="10"/>
      <c r="E368" s="10"/>
      <c r="F368" s="10" t="s">
        <v>610</v>
      </c>
      <c r="G368" s="9">
        <v>454.5454545454545</v>
      </c>
      <c r="H368" s="9">
        <f t="shared" si="6"/>
        <v>500</v>
      </c>
      <c r="J368" s="11"/>
    </row>
    <row r="369" spans="3:10" x14ac:dyDescent="0.45">
      <c r="D369" s="10"/>
      <c r="E369" s="10"/>
      <c r="F369" s="10" t="s">
        <v>611</v>
      </c>
      <c r="G369" s="9">
        <v>1363.6363636363637</v>
      </c>
      <c r="H369" s="9">
        <f t="shared" si="6"/>
        <v>1500.0000000000002</v>
      </c>
      <c r="J369" s="11" t="s">
        <v>612</v>
      </c>
    </row>
    <row r="370" spans="3:10" x14ac:dyDescent="0.45">
      <c r="D370" s="10"/>
      <c r="E370" s="10"/>
      <c r="F370" s="10" t="s">
        <v>591</v>
      </c>
      <c r="G370" s="9">
        <v>454.5454545454545</v>
      </c>
      <c r="H370" s="9">
        <f t="shared" si="6"/>
        <v>500</v>
      </c>
      <c r="J370" s="11"/>
    </row>
    <row r="371" spans="3:10" x14ac:dyDescent="0.45">
      <c r="D371" s="10"/>
      <c r="E371" s="10"/>
      <c r="F371" s="10" t="s">
        <v>586</v>
      </c>
      <c r="G371" s="9">
        <v>4545.454545454546</v>
      </c>
      <c r="H371" s="9">
        <f t="shared" si="6"/>
        <v>5000.0000000000009</v>
      </c>
      <c r="J371" s="11"/>
    </row>
    <row r="372" spans="3:10" x14ac:dyDescent="0.45">
      <c r="D372" s="10"/>
      <c r="E372" s="10"/>
      <c r="F372" s="10" t="s">
        <v>616</v>
      </c>
      <c r="G372" s="9">
        <v>454.5454545454545</v>
      </c>
      <c r="H372" s="9">
        <f t="shared" ref="H372:H426" si="7">G372*1.1</f>
        <v>500</v>
      </c>
      <c r="J372" s="11"/>
    </row>
    <row r="373" spans="3:10" x14ac:dyDescent="0.45">
      <c r="D373" s="10" t="s">
        <v>601</v>
      </c>
      <c r="E373" s="10" t="s">
        <v>607</v>
      </c>
      <c r="F373" s="10" t="s">
        <v>570</v>
      </c>
      <c r="G373" s="9">
        <v>727.27272727272737</v>
      </c>
      <c r="H373" s="9">
        <f t="shared" si="7"/>
        <v>800.00000000000011</v>
      </c>
      <c r="J373" s="11"/>
    </row>
    <row r="374" spans="3:10" x14ac:dyDescent="0.45">
      <c r="D374" s="10"/>
      <c r="E374" s="10"/>
      <c r="F374" s="10" t="s">
        <v>596</v>
      </c>
      <c r="G374" s="9">
        <v>681.81818181818187</v>
      </c>
      <c r="H374" s="9">
        <f t="shared" si="7"/>
        <v>750.00000000000011</v>
      </c>
      <c r="J374" s="11"/>
    </row>
    <row r="375" spans="3:10" x14ac:dyDescent="0.45">
      <c r="D375" s="10" t="s">
        <v>601</v>
      </c>
      <c r="E375" s="10" t="s">
        <v>608</v>
      </c>
      <c r="F375" s="10" t="s">
        <v>570</v>
      </c>
      <c r="G375" s="9">
        <v>909.09090909090901</v>
      </c>
      <c r="H375" s="9">
        <f t="shared" si="7"/>
        <v>1000</v>
      </c>
      <c r="J375" s="11"/>
    </row>
    <row r="376" spans="3:10" x14ac:dyDescent="0.45">
      <c r="D376" s="10"/>
      <c r="E376" s="10"/>
      <c r="F376" s="10" t="s">
        <v>596</v>
      </c>
      <c r="G376" s="9">
        <v>909.09090909090901</v>
      </c>
      <c r="H376" s="9">
        <f t="shared" si="7"/>
        <v>1000</v>
      </c>
      <c r="J376" s="11"/>
    </row>
    <row r="377" spans="3:10" x14ac:dyDescent="0.45">
      <c r="D377" s="10"/>
      <c r="E377" s="10"/>
      <c r="F377" s="10" t="s">
        <v>617</v>
      </c>
      <c r="G377" s="9">
        <v>4000</v>
      </c>
      <c r="H377" s="9">
        <f t="shared" si="7"/>
        <v>4400</v>
      </c>
      <c r="J377" s="11"/>
    </row>
    <row r="378" spans="3:10" x14ac:dyDescent="0.45">
      <c r="D378" s="10"/>
      <c r="E378" s="10"/>
      <c r="F378" s="10" t="s">
        <v>591</v>
      </c>
      <c r="G378" s="9">
        <v>454.5454545454545</v>
      </c>
      <c r="H378" s="9">
        <f t="shared" si="7"/>
        <v>500</v>
      </c>
      <c r="J378" s="11"/>
    </row>
    <row r="379" spans="3:10" x14ac:dyDescent="0.45">
      <c r="D379" s="10"/>
      <c r="E379" s="10"/>
      <c r="F379" s="10" t="s">
        <v>586</v>
      </c>
      <c r="G379" s="9">
        <v>4545.454545454546</v>
      </c>
      <c r="H379" s="9">
        <f t="shared" si="7"/>
        <v>5000.0000000000009</v>
      </c>
      <c r="J379" s="11"/>
    </row>
    <row r="380" spans="3:10" x14ac:dyDescent="0.45">
      <c r="C380" s="1" t="s">
        <v>1</v>
      </c>
      <c r="D380" s="1" t="s">
        <v>618</v>
      </c>
      <c r="E380" s="10" t="s">
        <v>621</v>
      </c>
      <c r="F380" s="10" t="s">
        <v>570</v>
      </c>
      <c r="G380" s="9">
        <v>818.18181818181813</v>
      </c>
      <c r="H380" s="9">
        <f t="shared" si="7"/>
        <v>900</v>
      </c>
      <c r="J380" s="11"/>
    </row>
    <row r="381" spans="3:10" x14ac:dyDescent="0.45">
      <c r="E381" s="10"/>
      <c r="F381" s="10" t="s">
        <v>591</v>
      </c>
      <c r="G381" s="9">
        <v>454.5454545454545</v>
      </c>
      <c r="H381" s="9">
        <f t="shared" si="7"/>
        <v>500</v>
      </c>
      <c r="J381" s="11"/>
    </row>
    <row r="382" spans="3:10" x14ac:dyDescent="0.45">
      <c r="E382" s="10"/>
      <c r="F382" s="10" t="s">
        <v>577</v>
      </c>
      <c r="G382" s="9">
        <v>181.81818181818184</v>
      </c>
      <c r="H382" s="9">
        <f t="shared" si="7"/>
        <v>200.00000000000003</v>
      </c>
      <c r="J382" s="11"/>
    </row>
    <row r="383" spans="3:10" x14ac:dyDescent="0.45">
      <c r="E383" s="10"/>
      <c r="F383" s="10" t="s">
        <v>619</v>
      </c>
      <c r="G383" s="9">
        <v>181.81818181818184</v>
      </c>
      <c r="H383" s="9">
        <f t="shared" si="7"/>
        <v>200.00000000000003</v>
      </c>
      <c r="J383" s="11"/>
    </row>
    <row r="384" spans="3:10" x14ac:dyDescent="0.45">
      <c r="E384" s="10"/>
      <c r="F384" s="10" t="s">
        <v>578</v>
      </c>
      <c r="G384" s="9">
        <v>181.81818181818184</v>
      </c>
      <c r="H384" s="9">
        <f t="shared" si="7"/>
        <v>200.00000000000003</v>
      </c>
      <c r="J384" s="11"/>
    </row>
    <row r="385" spans="4:10" x14ac:dyDescent="0.45">
      <c r="D385" s="1" t="s">
        <v>618</v>
      </c>
      <c r="E385" s="10" t="s">
        <v>628</v>
      </c>
      <c r="F385" s="10" t="s">
        <v>570</v>
      </c>
      <c r="G385" s="9">
        <v>818.18181818181813</v>
      </c>
      <c r="H385" s="9">
        <f t="shared" si="7"/>
        <v>900</v>
      </c>
      <c r="J385" s="11"/>
    </row>
    <row r="386" spans="4:10" x14ac:dyDescent="0.45">
      <c r="E386" s="10"/>
      <c r="F386" s="10" t="s">
        <v>591</v>
      </c>
      <c r="G386" s="9">
        <v>454.5454545454545</v>
      </c>
      <c r="H386" s="9">
        <f t="shared" si="7"/>
        <v>500</v>
      </c>
      <c r="J386" s="11"/>
    </row>
    <row r="387" spans="4:10" x14ac:dyDescent="0.45">
      <c r="E387" s="10"/>
      <c r="F387" s="10" t="s">
        <v>577</v>
      </c>
      <c r="G387" s="9">
        <v>181.81818181818184</v>
      </c>
      <c r="H387" s="9">
        <f t="shared" si="7"/>
        <v>200.00000000000003</v>
      </c>
      <c r="J387" s="11"/>
    </row>
    <row r="388" spans="4:10" x14ac:dyDescent="0.45">
      <c r="E388" s="10"/>
      <c r="F388" s="10" t="s">
        <v>619</v>
      </c>
      <c r="G388" s="9">
        <v>181.81818181818184</v>
      </c>
      <c r="H388" s="9">
        <f t="shared" si="7"/>
        <v>200.00000000000003</v>
      </c>
      <c r="J388" s="11"/>
    </row>
    <row r="389" spans="4:10" x14ac:dyDescent="0.45">
      <c r="E389" s="10"/>
      <c r="F389" s="10" t="s">
        <v>578</v>
      </c>
      <c r="G389" s="9">
        <v>181.81818181818184</v>
      </c>
      <c r="H389" s="9">
        <f t="shared" si="7"/>
        <v>200.00000000000003</v>
      </c>
      <c r="J389" s="11"/>
    </row>
    <row r="390" spans="4:10" x14ac:dyDescent="0.45">
      <c r="D390" s="1" t="s">
        <v>618</v>
      </c>
      <c r="E390" s="10" t="s">
        <v>627</v>
      </c>
      <c r="F390" s="10" t="s">
        <v>570</v>
      </c>
      <c r="G390" s="9">
        <v>818.18181818181813</v>
      </c>
      <c r="H390" s="9">
        <f t="shared" si="7"/>
        <v>900</v>
      </c>
      <c r="J390" s="11"/>
    </row>
    <row r="391" spans="4:10" x14ac:dyDescent="0.45">
      <c r="E391" s="10"/>
      <c r="F391" s="10" t="s">
        <v>591</v>
      </c>
      <c r="G391" s="9">
        <v>454.5454545454545</v>
      </c>
      <c r="H391" s="9">
        <f t="shared" si="7"/>
        <v>500</v>
      </c>
      <c r="J391" s="11"/>
    </row>
    <row r="392" spans="4:10" x14ac:dyDescent="0.45">
      <c r="E392" s="10"/>
      <c r="F392" s="10" t="s">
        <v>577</v>
      </c>
      <c r="G392" s="9">
        <v>181.81818181818184</v>
      </c>
      <c r="H392" s="9">
        <f t="shared" si="7"/>
        <v>200.00000000000003</v>
      </c>
      <c r="J392" s="11"/>
    </row>
    <row r="393" spans="4:10" x14ac:dyDescent="0.45">
      <c r="E393" s="10"/>
      <c r="F393" s="10" t="s">
        <v>619</v>
      </c>
      <c r="G393" s="9">
        <v>181.81818181818184</v>
      </c>
      <c r="H393" s="9">
        <f t="shared" si="7"/>
        <v>200.00000000000003</v>
      </c>
      <c r="J393" s="11"/>
    </row>
    <row r="394" spans="4:10" x14ac:dyDescent="0.45">
      <c r="E394" s="10"/>
      <c r="F394" s="10" t="s">
        <v>578</v>
      </c>
      <c r="G394" s="9">
        <v>181.81818181818184</v>
      </c>
      <c r="H394" s="9">
        <f t="shared" si="7"/>
        <v>200.00000000000003</v>
      </c>
      <c r="J394" s="11"/>
    </row>
    <row r="395" spans="4:10" x14ac:dyDescent="0.45">
      <c r="D395" s="1" t="s">
        <v>618</v>
      </c>
      <c r="E395" s="10" t="s">
        <v>622</v>
      </c>
      <c r="F395" s="10" t="s">
        <v>570</v>
      </c>
      <c r="G395" s="9">
        <v>818.18181818181813</v>
      </c>
      <c r="H395" s="9">
        <f t="shared" si="7"/>
        <v>900</v>
      </c>
      <c r="J395" s="11"/>
    </row>
    <row r="396" spans="4:10" x14ac:dyDescent="0.45">
      <c r="E396" s="10"/>
      <c r="F396" s="10" t="s">
        <v>591</v>
      </c>
      <c r="G396" s="9">
        <v>454.5454545454545</v>
      </c>
      <c r="H396" s="9">
        <f t="shared" si="7"/>
        <v>500</v>
      </c>
      <c r="J396" s="11"/>
    </row>
    <row r="397" spans="4:10" x14ac:dyDescent="0.45">
      <c r="E397" s="10"/>
      <c r="F397" s="10" t="s">
        <v>577</v>
      </c>
      <c r="G397" s="9">
        <v>181.81818181818184</v>
      </c>
      <c r="H397" s="9">
        <f t="shared" si="7"/>
        <v>200.00000000000003</v>
      </c>
      <c r="J397" s="11"/>
    </row>
    <row r="398" spans="4:10" x14ac:dyDescent="0.45">
      <c r="E398" s="10"/>
      <c r="F398" s="10" t="s">
        <v>619</v>
      </c>
      <c r="G398" s="9">
        <v>181.81818181818184</v>
      </c>
      <c r="H398" s="9">
        <f t="shared" si="7"/>
        <v>200.00000000000003</v>
      </c>
      <c r="J398" s="11"/>
    </row>
    <row r="399" spans="4:10" x14ac:dyDescent="0.45">
      <c r="E399" s="10"/>
      <c r="F399" s="10" t="s">
        <v>578</v>
      </c>
      <c r="G399" s="9">
        <v>181.81818181818184</v>
      </c>
      <c r="H399" s="9">
        <f t="shared" si="7"/>
        <v>200.00000000000003</v>
      </c>
      <c r="J399" s="11"/>
    </row>
    <row r="400" spans="4:10" x14ac:dyDescent="0.45">
      <c r="D400" s="1" t="s">
        <v>618</v>
      </c>
      <c r="E400" s="10" t="s">
        <v>623</v>
      </c>
      <c r="F400" s="10" t="s">
        <v>570</v>
      </c>
      <c r="G400" s="9">
        <v>818.18181818181813</v>
      </c>
      <c r="H400" s="9">
        <f t="shared" si="7"/>
        <v>900</v>
      </c>
      <c r="J400" s="11"/>
    </row>
    <row r="401" spans="4:10" x14ac:dyDescent="0.45">
      <c r="E401" s="10"/>
      <c r="F401" s="10" t="s">
        <v>591</v>
      </c>
      <c r="G401" s="9">
        <v>454.5454545454545</v>
      </c>
      <c r="H401" s="9">
        <f t="shared" si="7"/>
        <v>500</v>
      </c>
      <c r="J401" s="11"/>
    </row>
    <row r="402" spans="4:10" x14ac:dyDescent="0.45">
      <c r="E402" s="10"/>
      <c r="F402" s="10" t="s">
        <v>577</v>
      </c>
      <c r="G402" s="9">
        <v>181.81818181818184</v>
      </c>
      <c r="H402" s="9">
        <f t="shared" si="7"/>
        <v>200.00000000000003</v>
      </c>
      <c r="J402" s="11"/>
    </row>
    <row r="403" spans="4:10" x14ac:dyDescent="0.45">
      <c r="E403" s="10"/>
      <c r="F403" s="10" t="s">
        <v>619</v>
      </c>
      <c r="G403" s="9">
        <v>181.81818181818184</v>
      </c>
      <c r="H403" s="9">
        <f t="shared" si="7"/>
        <v>200.00000000000003</v>
      </c>
      <c r="J403" s="11"/>
    </row>
    <row r="404" spans="4:10" x14ac:dyDescent="0.45">
      <c r="E404" s="10"/>
      <c r="F404" s="10" t="s">
        <v>578</v>
      </c>
      <c r="G404" s="9">
        <v>181.81818181818184</v>
      </c>
      <c r="H404" s="9">
        <f t="shared" si="7"/>
        <v>200.00000000000003</v>
      </c>
      <c r="J404" s="11"/>
    </row>
    <row r="405" spans="4:10" x14ac:dyDescent="0.45">
      <c r="D405" s="1" t="s">
        <v>618</v>
      </c>
      <c r="E405" s="10" t="s">
        <v>624</v>
      </c>
      <c r="F405" s="10" t="s">
        <v>570</v>
      </c>
      <c r="G405" s="9">
        <v>818.18181818181813</v>
      </c>
      <c r="H405" s="9">
        <f t="shared" si="7"/>
        <v>900</v>
      </c>
      <c r="J405" s="11"/>
    </row>
    <row r="406" spans="4:10" x14ac:dyDescent="0.45">
      <c r="E406" s="10"/>
      <c r="F406" s="10" t="s">
        <v>591</v>
      </c>
      <c r="G406" s="9">
        <v>454.5454545454545</v>
      </c>
      <c r="H406" s="9">
        <f t="shared" si="7"/>
        <v>500</v>
      </c>
      <c r="J406" s="11"/>
    </row>
    <row r="407" spans="4:10" x14ac:dyDescent="0.45">
      <c r="E407" s="10"/>
      <c r="F407" s="10" t="s">
        <v>577</v>
      </c>
      <c r="G407" s="9">
        <v>181.81818181818184</v>
      </c>
      <c r="H407" s="9">
        <f t="shared" si="7"/>
        <v>200.00000000000003</v>
      </c>
      <c r="J407" s="11"/>
    </row>
    <row r="408" spans="4:10" x14ac:dyDescent="0.45">
      <c r="D408" s="10"/>
      <c r="E408" s="10"/>
      <c r="F408" s="10" t="s">
        <v>619</v>
      </c>
      <c r="G408" s="9">
        <v>181.81818181818184</v>
      </c>
      <c r="H408" s="9">
        <f t="shared" si="7"/>
        <v>200.00000000000003</v>
      </c>
      <c r="J408" s="11"/>
    </row>
    <row r="409" spans="4:10" x14ac:dyDescent="0.45">
      <c r="D409" s="10"/>
      <c r="E409" s="10"/>
      <c r="F409" s="10" t="s">
        <v>578</v>
      </c>
      <c r="G409" s="9">
        <v>181.81818181818184</v>
      </c>
      <c r="H409" s="9">
        <f t="shared" si="7"/>
        <v>200.00000000000003</v>
      </c>
      <c r="J409" s="11"/>
    </row>
    <row r="410" spans="4:10" x14ac:dyDescent="0.45">
      <c r="D410" s="1" t="s">
        <v>618</v>
      </c>
      <c r="E410" s="10" t="s">
        <v>625</v>
      </c>
      <c r="F410" s="10" t="s">
        <v>570</v>
      </c>
      <c r="G410" s="9">
        <v>818.18181818181813</v>
      </c>
      <c r="H410" s="9">
        <f t="shared" si="7"/>
        <v>900</v>
      </c>
      <c r="J410" s="11"/>
    </row>
    <row r="411" spans="4:10" x14ac:dyDescent="0.45">
      <c r="D411" s="10"/>
      <c r="E411" s="10"/>
      <c r="F411" s="10" t="s">
        <v>591</v>
      </c>
      <c r="G411" s="9">
        <v>454.5454545454545</v>
      </c>
      <c r="H411" s="9">
        <f t="shared" si="7"/>
        <v>500</v>
      </c>
      <c r="J411" s="11"/>
    </row>
    <row r="412" spans="4:10" x14ac:dyDescent="0.45">
      <c r="D412" s="10"/>
      <c r="E412" s="10"/>
      <c r="F412" s="10" t="s">
        <v>577</v>
      </c>
      <c r="G412" s="9">
        <v>181.81818181818184</v>
      </c>
      <c r="H412" s="9">
        <f t="shared" si="7"/>
        <v>200.00000000000003</v>
      </c>
      <c r="J412" s="11"/>
    </row>
    <row r="413" spans="4:10" x14ac:dyDescent="0.45">
      <c r="D413" s="10"/>
      <c r="E413" s="10"/>
      <c r="F413" s="10" t="s">
        <v>619</v>
      </c>
      <c r="G413" s="9">
        <v>181.81818181818184</v>
      </c>
      <c r="H413" s="9">
        <f t="shared" si="7"/>
        <v>200.00000000000003</v>
      </c>
      <c r="J413" s="11"/>
    </row>
    <row r="414" spans="4:10" x14ac:dyDescent="0.45">
      <c r="D414" s="10"/>
      <c r="E414" s="10"/>
      <c r="F414" s="10" t="s">
        <v>578</v>
      </c>
      <c r="G414" s="9">
        <v>181.81818181818184</v>
      </c>
      <c r="H414" s="9">
        <f t="shared" si="7"/>
        <v>200.00000000000003</v>
      </c>
      <c r="J414" s="11"/>
    </row>
    <row r="415" spans="4:10" x14ac:dyDescent="0.45">
      <c r="D415" s="1" t="s">
        <v>618</v>
      </c>
      <c r="E415" s="10" t="s">
        <v>626</v>
      </c>
      <c r="F415" s="10" t="s">
        <v>570</v>
      </c>
      <c r="G415" s="9">
        <v>818.18181818181813</v>
      </c>
      <c r="H415" s="9">
        <f t="shared" si="7"/>
        <v>900</v>
      </c>
      <c r="J415" s="11"/>
    </row>
    <row r="416" spans="4:10" x14ac:dyDescent="0.45">
      <c r="D416" s="10"/>
      <c r="E416" s="10"/>
      <c r="F416" s="10" t="s">
        <v>591</v>
      </c>
      <c r="G416" s="9">
        <v>454.5454545454545</v>
      </c>
      <c r="H416" s="9">
        <f t="shared" si="7"/>
        <v>500</v>
      </c>
      <c r="J416" s="11"/>
    </row>
    <row r="417" spans="3:12" x14ac:dyDescent="0.45">
      <c r="D417" s="10"/>
      <c r="E417" s="10"/>
      <c r="F417" s="10" t="s">
        <v>577</v>
      </c>
      <c r="G417" s="9">
        <v>181.81818181818184</v>
      </c>
      <c r="H417" s="9">
        <f t="shared" si="7"/>
        <v>200.00000000000003</v>
      </c>
      <c r="J417" s="11"/>
    </row>
    <row r="418" spans="3:12" x14ac:dyDescent="0.45">
      <c r="D418" s="10"/>
      <c r="E418" s="10"/>
      <c r="F418" s="10" t="s">
        <v>619</v>
      </c>
      <c r="G418" s="9">
        <v>181.81818181818184</v>
      </c>
      <c r="H418" s="9">
        <f t="shared" si="7"/>
        <v>200.00000000000003</v>
      </c>
      <c r="J418" s="11"/>
    </row>
    <row r="419" spans="3:12" x14ac:dyDescent="0.45">
      <c r="D419" s="10"/>
      <c r="E419" s="10"/>
      <c r="F419" s="10" t="s">
        <v>578</v>
      </c>
      <c r="G419" s="9">
        <v>181.81818181818184</v>
      </c>
      <c r="H419" s="9">
        <f t="shared" si="7"/>
        <v>200.00000000000003</v>
      </c>
      <c r="J419" s="11"/>
    </row>
    <row r="420" spans="3:12" x14ac:dyDescent="0.45">
      <c r="C420" s="1" t="s">
        <v>1</v>
      </c>
      <c r="D420" s="1" t="s">
        <v>630</v>
      </c>
      <c r="E420" s="10" t="s">
        <v>535</v>
      </c>
      <c r="F420" s="10" t="s">
        <v>570</v>
      </c>
      <c r="G420" s="9">
        <v>1000</v>
      </c>
      <c r="H420" s="9">
        <f t="shared" si="7"/>
        <v>1100</v>
      </c>
      <c r="J420" s="11"/>
    </row>
    <row r="421" spans="3:12" x14ac:dyDescent="0.45">
      <c r="E421" s="10"/>
      <c r="F421" s="10" t="s">
        <v>591</v>
      </c>
      <c r="G421" s="9">
        <v>454.5454545454545</v>
      </c>
      <c r="H421" s="9">
        <f t="shared" si="7"/>
        <v>500</v>
      </c>
      <c r="J421" s="11"/>
    </row>
    <row r="422" spans="3:12" x14ac:dyDescent="0.45">
      <c r="E422" s="10"/>
      <c r="F422" s="10" t="s">
        <v>586</v>
      </c>
      <c r="G422" s="9">
        <v>3636.363636363636</v>
      </c>
      <c r="H422" s="9">
        <f t="shared" si="7"/>
        <v>4000</v>
      </c>
      <c r="J422" s="11"/>
    </row>
    <row r="423" spans="3:12" x14ac:dyDescent="0.45">
      <c r="D423" s="1" t="s">
        <v>630</v>
      </c>
      <c r="E423" s="10" t="s">
        <v>536</v>
      </c>
      <c r="F423" s="10" t="s">
        <v>570</v>
      </c>
      <c r="G423" s="9">
        <v>1000</v>
      </c>
      <c r="H423" s="9">
        <f t="shared" si="7"/>
        <v>1100</v>
      </c>
      <c r="J423" s="11"/>
    </row>
    <row r="424" spans="3:12" x14ac:dyDescent="0.45">
      <c r="E424" s="10"/>
      <c r="F424" s="10" t="s">
        <v>591</v>
      </c>
      <c r="G424" s="9">
        <v>454.5454545454545</v>
      </c>
      <c r="H424" s="9">
        <f t="shared" si="7"/>
        <v>500</v>
      </c>
      <c r="J424" s="11"/>
    </row>
    <row r="425" spans="3:12" x14ac:dyDescent="0.45">
      <c r="E425" s="10"/>
      <c r="F425" s="10" t="s">
        <v>586</v>
      </c>
      <c r="G425" s="9">
        <v>3636.363636363636</v>
      </c>
      <c r="H425" s="9">
        <f t="shared" si="7"/>
        <v>4000</v>
      </c>
      <c r="J425" s="11"/>
    </row>
    <row r="426" spans="3:12" x14ac:dyDescent="0.45">
      <c r="C426" s="1" t="s">
        <v>1</v>
      </c>
      <c r="D426" s="10" t="s">
        <v>537</v>
      </c>
      <c r="E426" s="10"/>
      <c r="F426" s="10" t="s">
        <v>570</v>
      </c>
      <c r="G426" s="9">
        <v>909.09090909090901</v>
      </c>
      <c r="H426" s="9">
        <f t="shared" si="7"/>
        <v>1000</v>
      </c>
      <c r="J426" s="11"/>
    </row>
    <row r="428" spans="3:12" ht="15" x14ac:dyDescent="0.7">
      <c r="L428" s="1"/>
    </row>
    <row r="429" spans="3:12" ht="15" x14ac:dyDescent="0.7">
      <c r="L429" s="1"/>
    </row>
    <row r="430" spans="3:12" ht="15" x14ac:dyDescent="0.7">
      <c r="L430" s="1"/>
    </row>
    <row r="431" spans="3:12" ht="15" x14ac:dyDescent="0.7">
      <c r="C431" s="1" t="s">
        <v>2</v>
      </c>
      <c r="D431" s="1" t="s">
        <v>4</v>
      </c>
      <c r="H431" s="9">
        <f t="shared" ref="H431:H440" si="8">G431*1.1</f>
        <v>0</v>
      </c>
      <c r="L431" s="1"/>
    </row>
    <row r="432" spans="3:12" ht="15" x14ac:dyDescent="0.7">
      <c r="C432" s="1" t="s">
        <v>2</v>
      </c>
      <c r="D432" s="1" t="s">
        <v>5</v>
      </c>
      <c r="H432" s="9">
        <f t="shared" si="8"/>
        <v>0</v>
      </c>
      <c r="L432" s="1"/>
    </row>
    <row r="433" spans="3:12" ht="15" x14ac:dyDescent="0.7">
      <c r="C433" s="1" t="s">
        <v>2</v>
      </c>
      <c r="D433" s="1" t="s">
        <v>36</v>
      </c>
      <c r="H433" s="9">
        <f t="shared" si="8"/>
        <v>0</v>
      </c>
      <c r="L433" s="1"/>
    </row>
    <row r="434" spans="3:12" ht="15" x14ac:dyDescent="0.7">
      <c r="C434" s="1" t="s">
        <v>2</v>
      </c>
      <c r="D434" s="1" t="s">
        <v>40</v>
      </c>
      <c r="H434" s="9">
        <f t="shared" si="8"/>
        <v>0</v>
      </c>
      <c r="L434" s="1"/>
    </row>
    <row r="435" spans="3:12" ht="15" x14ac:dyDescent="0.7">
      <c r="C435" s="1" t="s">
        <v>2</v>
      </c>
      <c r="D435" s="1" t="s">
        <v>42</v>
      </c>
      <c r="H435" s="9">
        <f t="shared" si="8"/>
        <v>0</v>
      </c>
      <c r="L435" s="1"/>
    </row>
    <row r="436" spans="3:12" ht="15" x14ac:dyDescent="0.7">
      <c r="C436" s="1" t="s">
        <v>2</v>
      </c>
      <c r="D436" s="1" t="s">
        <v>44</v>
      </c>
      <c r="H436" s="9">
        <f t="shared" si="8"/>
        <v>0</v>
      </c>
      <c r="L436" s="1"/>
    </row>
    <row r="437" spans="3:12" ht="15" x14ac:dyDescent="0.7">
      <c r="C437" s="1" t="s">
        <v>2</v>
      </c>
      <c r="D437" s="1" t="s">
        <v>45</v>
      </c>
      <c r="H437" s="9">
        <f t="shared" si="8"/>
        <v>0</v>
      </c>
      <c r="L437" s="1"/>
    </row>
    <row r="438" spans="3:12" ht="15" x14ac:dyDescent="0.7">
      <c r="C438" s="1" t="s">
        <v>2</v>
      </c>
      <c r="D438" s="1" t="s">
        <v>51</v>
      </c>
      <c r="H438" s="9">
        <f t="shared" si="8"/>
        <v>0</v>
      </c>
      <c r="L438" s="1"/>
    </row>
    <row r="439" spans="3:12" ht="15" x14ac:dyDescent="0.7">
      <c r="C439" s="1" t="s">
        <v>2</v>
      </c>
      <c r="D439" s="1" t="s">
        <v>50</v>
      </c>
      <c r="H439" s="9">
        <f t="shared" si="8"/>
        <v>0</v>
      </c>
      <c r="L439" s="1"/>
    </row>
    <row r="440" spans="3:12" ht="15" x14ac:dyDescent="0.7">
      <c r="C440" s="1" t="s">
        <v>2</v>
      </c>
      <c r="D440" s="1" t="s">
        <v>101</v>
      </c>
      <c r="H440" s="9">
        <f t="shared" si="8"/>
        <v>0</v>
      </c>
      <c r="L440" s="1"/>
    </row>
    <row r="441" spans="3:12" ht="15" x14ac:dyDescent="0.7">
      <c r="L441" s="1"/>
    </row>
    <row r="442" spans="3:12" ht="15" x14ac:dyDescent="0.7">
      <c r="L442" s="1"/>
    </row>
    <row r="443" spans="3:12" ht="15" x14ac:dyDescent="0.7">
      <c r="C443" s="1" t="s">
        <v>9</v>
      </c>
      <c r="D443" s="1" t="s">
        <v>10</v>
      </c>
      <c r="H443" s="9">
        <f t="shared" ref="H443:H445" si="9">G443*1.1</f>
        <v>0</v>
      </c>
      <c r="L443" s="1"/>
    </row>
    <row r="444" spans="3:12" ht="15" x14ac:dyDescent="0.7">
      <c r="C444" s="1" t="s">
        <v>9</v>
      </c>
      <c r="D444" s="1" t="s">
        <v>46</v>
      </c>
      <c r="H444" s="9">
        <f t="shared" si="9"/>
        <v>0</v>
      </c>
      <c r="L444" s="1"/>
    </row>
    <row r="445" spans="3:12" ht="15" x14ac:dyDescent="0.7">
      <c r="C445" s="1" t="s">
        <v>9</v>
      </c>
      <c r="D445" s="1" t="s">
        <v>47</v>
      </c>
      <c r="H445" s="9">
        <f t="shared" si="9"/>
        <v>0</v>
      </c>
      <c r="L445" s="1"/>
    </row>
    <row r="446" spans="3:12" ht="15" x14ac:dyDescent="0.7">
      <c r="L446" s="1"/>
    </row>
    <row r="447" spans="3:12" ht="15" x14ac:dyDescent="0.7">
      <c r="L447" s="1"/>
    </row>
    <row r="448" spans="3:12" ht="15" x14ac:dyDescent="0.7">
      <c r="L448" s="1"/>
    </row>
    <row r="449" spans="3:12" ht="15" x14ac:dyDescent="0.7">
      <c r="L449" s="1"/>
    </row>
    <row r="450" spans="3:12" ht="15" x14ac:dyDescent="0.7">
      <c r="L450" s="1"/>
    </row>
    <row r="451" spans="3:12" ht="15" x14ac:dyDescent="0.7">
      <c r="C451" s="1" t="s">
        <v>3</v>
      </c>
      <c r="D451" s="1" t="s">
        <v>11</v>
      </c>
      <c r="F451" s="1" t="s">
        <v>266</v>
      </c>
      <c r="G451" s="2">
        <v>1450</v>
      </c>
      <c r="H451" s="9">
        <f t="shared" ref="H451:H472" si="10">G451*1.1</f>
        <v>1595.0000000000002</v>
      </c>
      <c r="L451" s="1"/>
    </row>
    <row r="452" spans="3:12" ht="15" x14ac:dyDescent="0.7">
      <c r="F452" s="1" t="s">
        <v>267</v>
      </c>
      <c r="G452" s="2">
        <v>1850</v>
      </c>
      <c r="H452" s="9">
        <f t="shared" si="10"/>
        <v>2035.0000000000002</v>
      </c>
      <c r="L452" s="1"/>
    </row>
    <row r="453" spans="3:12" ht="15" x14ac:dyDescent="0.7">
      <c r="F453" s="1" t="s">
        <v>268</v>
      </c>
      <c r="G453" s="2">
        <v>100</v>
      </c>
      <c r="H453" s="9">
        <f t="shared" si="10"/>
        <v>110.00000000000001</v>
      </c>
      <c r="L453" s="1"/>
    </row>
    <row r="454" spans="3:12" ht="15" x14ac:dyDescent="0.7">
      <c r="F454" s="1" t="s">
        <v>269</v>
      </c>
      <c r="G454" s="2">
        <v>100</v>
      </c>
      <c r="H454" s="9">
        <f t="shared" si="10"/>
        <v>110.00000000000001</v>
      </c>
      <c r="L454" s="1"/>
    </row>
    <row r="455" spans="3:12" ht="15" x14ac:dyDescent="0.7">
      <c r="F455" s="1" t="s">
        <v>270</v>
      </c>
      <c r="G455" s="2">
        <v>1700</v>
      </c>
      <c r="H455" s="9">
        <f t="shared" si="10"/>
        <v>1870.0000000000002</v>
      </c>
      <c r="L455" s="1"/>
    </row>
    <row r="456" spans="3:12" ht="15" x14ac:dyDescent="0.7">
      <c r="F456" s="1" t="s">
        <v>273</v>
      </c>
      <c r="G456" s="2">
        <v>1000</v>
      </c>
      <c r="H456" s="9">
        <f t="shared" si="10"/>
        <v>1100</v>
      </c>
      <c r="L456" s="1"/>
    </row>
    <row r="457" spans="3:12" ht="15" x14ac:dyDescent="0.7">
      <c r="F457" s="1" t="s">
        <v>271</v>
      </c>
      <c r="G457" s="2">
        <v>500</v>
      </c>
      <c r="H457" s="9">
        <f t="shared" si="10"/>
        <v>550</v>
      </c>
      <c r="L457" s="1"/>
    </row>
    <row r="458" spans="3:12" ht="15" x14ac:dyDescent="0.7">
      <c r="F458" s="1" t="s">
        <v>274</v>
      </c>
      <c r="G458" s="2">
        <v>350</v>
      </c>
      <c r="H458" s="9">
        <f t="shared" si="10"/>
        <v>385.00000000000006</v>
      </c>
      <c r="L458" s="1"/>
    </row>
    <row r="459" spans="3:12" ht="15" x14ac:dyDescent="0.7">
      <c r="F459" s="1" t="s">
        <v>275</v>
      </c>
      <c r="G459" s="2">
        <v>1000</v>
      </c>
      <c r="H459" s="9">
        <f t="shared" si="10"/>
        <v>1100</v>
      </c>
      <c r="L459" s="1"/>
    </row>
    <row r="460" spans="3:12" ht="15" x14ac:dyDescent="0.7">
      <c r="F460" s="1" t="s">
        <v>276</v>
      </c>
      <c r="G460" s="2">
        <v>600</v>
      </c>
      <c r="H460" s="9">
        <f t="shared" si="10"/>
        <v>660</v>
      </c>
      <c r="L460" s="1"/>
    </row>
    <row r="461" spans="3:12" ht="15" x14ac:dyDescent="0.7">
      <c r="F461" s="1" t="s">
        <v>272</v>
      </c>
      <c r="G461" s="2">
        <v>350</v>
      </c>
      <c r="H461" s="9">
        <f t="shared" si="10"/>
        <v>385.00000000000006</v>
      </c>
      <c r="L461" s="1"/>
    </row>
    <row r="462" spans="3:12" ht="15" x14ac:dyDescent="0.7">
      <c r="F462" s="1" t="s">
        <v>277</v>
      </c>
      <c r="G462" s="2">
        <v>200</v>
      </c>
      <c r="H462" s="9">
        <f t="shared" si="10"/>
        <v>220.00000000000003</v>
      </c>
      <c r="L462" s="1"/>
    </row>
    <row r="463" spans="3:12" ht="15" x14ac:dyDescent="0.7">
      <c r="C463" s="1" t="s">
        <v>3</v>
      </c>
      <c r="D463" s="1" t="s">
        <v>16</v>
      </c>
      <c r="E463" s="1" t="s">
        <v>485</v>
      </c>
      <c r="F463" s="1" t="s">
        <v>486</v>
      </c>
      <c r="G463" s="2">
        <v>1000</v>
      </c>
      <c r="H463" s="9">
        <f t="shared" si="10"/>
        <v>1100</v>
      </c>
      <c r="L463" s="1"/>
    </row>
    <row r="464" spans="3:12" ht="15" x14ac:dyDescent="0.7">
      <c r="F464" s="1" t="s">
        <v>488</v>
      </c>
      <c r="G464" s="2">
        <v>1200</v>
      </c>
      <c r="H464" s="9">
        <f t="shared" si="10"/>
        <v>1320</v>
      </c>
      <c r="L464" s="1"/>
    </row>
    <row r="465" spans="3:12" ht="15" x14ac:dyDescent="0.7">
      <c r="F465" s="1" t="s">
        <v>489</v>
      </c>
      <c r="G465" s="2">
        <v>2500</v>
      </c>
      <c r="H465" s="9">
        <f t="shared" si="10"/>
        <v>2750</v>
      </c>
      <c r="L465" s="1"/>
    </row>
    <row r="466" spans="3:12" ht="15" x14ac:dyDescent="0.7">
      <c r="F466" s="1" t="s">
        <v>490</v>
      </c>
      <c r="G466" s="2">
        <v>1600</v>
      </c>
      <c r="H466" s="9">
        <f t="shared" si="10"/>
        <v>1760.0000000000002</v>
      </c>
      <c r="L466" s="1"/>
    </row>
    <row r="467" spans="3:12" ht="15" x14ac:dyDescent="0.7">
      <c r="F467" s="1" t="s">
        <v>487</v>
      </c>
      <c r="G467" s="2">
        <v>100</v>
      </c>
      <c r="H467" s="9">
        <f t="shared" si="10"/>
        <v>110.00000000000001</v>
      </c>
      <c r="L467" s="1"/>
    </row>
    <row r="468" spans="3:12" ht="15" x14ac:dyDescent="0.7">
      <c r="D468" s="1" t="s">
        <v>16</v>
      </c>
      <c r="E468" s="1" t="s">
        <v>491</v>
      </c>
      <c r="F468" s="1" t="s">
        <v>486</v>
      </c>
      <c r="G468" s="2">
        <v>1000</v>
      </c>
      <c r="H468" s="9">
        <f t="shared" si="10"/>
        <v>1100</v>
      </c>
      <c r="L468" s="1"/>
    </row>
    <row r="469" spans="3:12" ht="15" x14ac:dyDescent="0.7">
      <c r="F469" s="1" t="s">
        <v>489</v>
      </c>
      <c r="G469" s="2">
        <v>2500</v>
      </c>
      <c r="H469" s="9">
        <f t="shared" si="10"/>
        <v>2750</v>
      </c>
      <c r="L469" s="1"/>
    </row>
    <row r="470" spans="3:12" ht="15" x14ac:dyDescent="0.7">
      <c r="C470" s="1" t="s">
        <v>3</v>
      </c>
      <c r="D470" s="1" t="s">
        <v>43</v>
      </c>
      <c r="F470" s="1" t="s">
        <v>958</v>
      </c>
      <c r="G470" s="2">
        <v>6000</v>
      </c>
      <c r="H470" s="9">
        <f t="shared" si="10"/>
        <v>6600.0000000000009</v>
      </c>
      <c r="L470" s="1"/>
    </row>
    <row r="471" spans="3:12" ht="15" x14ac:dyDescent="0.7">
      <c r="F471" s="1" t="s">
        <v>959</v>
      </c>
      <c r="G471" s="2">
        <v>6000</v>
      </c>
      <c r="H471" s="1">
        <f t="shared" si="10"/>
        <v>6600.0000000000009</v>
      </c>
      <c r="L471" s="1"/>
    </row>
    <row r="472" spans="3:12" ht="15" x14ac:dyDescent="0.7">
      <c r="F472" s="1" t="s">
        <v>960</v>
      </c>
      <c r="G472" s="2">
        <v>1200</v>
      </c>
      <c r="H472" s="1">
        <f t="shared" si="10"/>
        <v>1320</v>
      </c>
      <c r="L472" s="1"/>
    </row>
    <row r="473" spans="3:12" ht="15" x14ac:dyDescent="0.7">
      <c r="L473" s="1"/>
    </row>
    <row r="474" spans="3:12" ht="15" x14ac:dyDescent="0.7">
      <c r="L474" s="1"/>
    </row>
    <row r="475" spans="3:12" ht="15" x14ac:dyDescent="0.7">
      <c r="L475" s="1"/>
    </row>
    <row r="476" spans="3:12" ht="15" x14ac:dyDescent="0.7">
      <c r="L476" s="1"/>
    </row>
    <row r="477" spans="3:12" ht="15" x14ac:dyDescent="0.7">
      <c r="L477" s="1"/>
    </row>
    <row r="478" spans="3:12" ht="15" x14ac:dyDescent="0.7">
      <c r="L478" s="1"/>
    </row>
    <row r="479" spans="3:12" ht="15" x14ac:dyDescent="0.7">
      <c r="C479" s="1" t="s">
        <v>69</v>
      </c>
      <c r="D479" s="1" t="s">
        <v>37</v>
      </c>
      <c r="F479" s="1" t="s">
        <v>100</v>
      </c>
      <c r="G479" s="2">
        <v>119800</v>
      </c>
      <c r="H479" s="9">
        <f t="shared" ref="H479:H480" si="11">G479*1.1</f>
        <v>131780</v>
      </c>
      <c r="L479" s="1"/>
    </row>
    <row r="480" spans="3:12" ht="15" x14ac:dyDescent="0.7">
      <c r="C480" s="1" t="s">
        <v>69</v>
      </c>
      <c r="D480" s="1" t="s">
        <v>49</v>
      </c>
      <c r="F480" s="1" t="s">
        <v>499</v>
      </c>
      <c r="G480" s="2">
        <v>150000</v>
      </c>
      <c r="H480" s="9">
        <f t="shared" si="11"/>
        <v>165000</v>
      </c>
      <c r="J480" s="1" t="s">
        <v>500</v>
      </c>
      <c r="L480" s="1"/>
    </row>
    <row r="481" spans="3:12" ht="15" x14ac:dyDescent="0.7">
      <c r="C481" s="1" t="s">
        <v>69</v>
      </c>
      <c r="D481" s="1" t="s">
        <v>44</v>
      </c>
      <c r="F481" s="1" t="s">
        <v>957</v>
      </c>
      <c r="G481" s="2">
        <v>10000</v>
      </c>
      <c r="H481" s="9">
        <f t="shared" ref="H481" si="12">G481*1.1</f>
        <v>11000</v>
      </c>
      <c r="L481" s="1"/>
    </row>
    <row r="482" spans="3:12" ht="15" x14ac:dyDescent="0.7">
      <c r="L482" s="1"/>
    </row>
    <row r="483" spans="3:12" ht="15" x14ac:dyDescent="0.7">
      <c r="C483" s="1" t="s">
        <v>15</v>
      </c>
      <c r="D483" s="1" t="s">
        <v>17</v>
      </c>
      <c r="F483" s="1" t="s">
        <v>72</v>
      </c>
      <c r="H483" s="9">
        <f t="shared" ref="H483:H515" si="13">G483*1.1</f>
        <v>0</v>
      </c>
      <c r="L483" s="1"/>
    </row>
    <row r="484" spans="3:12" ht="15" x14ac:dyDescent="0.7">
      <c r="C484" s="1" t="s">
        <v>15</v>
      </c>
      <c r="D484" s="1" t="s">
        <v>18</v>
      </c>
      <c r="F484" s="1" t="s">
        <v>74</v>
      </c>
      <c r="H484" s="9">
        <f t="shared" si="13"/>
        <v>0</v>
      </c>
      <c r="L484" s="1"/>
    </row>
    <row r="485" spans="3:12" ht="15" x14ac:dyDescent="0.7">
      <c r="C485" s="1" t="s">
        <v>15</v>
      </c>
      <c r="D485" s="1" t="s">
        <v>19</v>
      </c>
      <c r="F485" s="1" t="s">
        <v>75</v>
      </c>
      <c r="H485" s="9">
        <f t="shared" si="13"/>
        <v>0</v>
      </c>
      <c r="L485" s="1"/>
    </row>
    <row r="486" spans="3:12" ht="15" x14ac:dyDescent="0.7">
      <c r="C486" s="1" t="s">
        <v>15</v>
      </c>
      <c r="D486" s="1" t="s">
        <v>20</v>
      </c>
      <c r="F486" s="1" t="s">
        <v>76</v>
      </c>
      <c r="H486" s="9">
        <f t="shared" si="13"/>
        <v>0</v>
      </c>
      <c r="L486" s="1"/>
    </row>
    <row r="487" spans="3:12" ht="15" x14ac:dyDescent="0.7">
      <c r="C487" s="1" t="s">
        <v>15</v>
      </c>
      <c r="D487" s="1" t="s">
        <v>21</v>
      </c>
      <c r="F487" s="1" t="s">
        <v>77</v>
      </c>
      <c r="H487" s="9">
        <f t="shared" si="13"/>
        <v>0</v>
      </c>
      <c r="L487" s="1"/>
    </row>
    <row r="488" spans="3:12" ht="15" x14ac:dyDescent="0.7">
      <c r="C488" s="1" t="s">
        <v>15</v>
      </c>
      <c r="D488" s="1" t="s">
        <v>22</v>
      </c>
      <c r="F488" s="1" t="s">
        <v>78</v>
      </c>
      <c r="H488" s="9">
        <f t="shared" si="13"/>
        <v>0</v>
      </c>
      <c r="L488" s="1"/>
    </row>
    <row r="489" spans="3:12" ht="15" x14ac:dyDescent="0.7">
      <c r="C489" s="1" t="s">
        <v>15</v>
      </c>
      <c r="D489" s="1" t="s">
        <v>23</v>
      </c>
      <c r="F489" s="1" t="s">
        <v>73</v>
      </c>
      <c r="H489" s="9">
        <f t="shared" si="13"/>
        <v>0</v>
      </c>
      <c r="L489" s="1"/>
    </row>
    <row r="490" spans="3:12" ht="15" x14ac:dyDescent="0.7">
      <c r="C490" s="1" t="s">
        <v>15</v>
      </c>
      <c r="D490" s="1" t="s">
        <v>14</v>
      </c>
      <c r="F490" s="1" t="s">
        <v>80</v>
      </c>
      <c r="H490" s="9">
        <f t="shared" si="13"/>
        <v>0</v>
      </c>
      <c r="L490" s="1"/>
    </row>
    <row r="491" spans="3:12" ht="15" x14ac:dyDescent="0.7">
      <c r="C491" s="1" t="s">
        <v>15</v>
      </c>
      <c r="D491" s="1" t="s">
        <v>24</v>
      </c>
      <c r="H491" s="9">
        <f t="shared" si="13"/>
        <v>0</v>
      </c>
      <c r="L491" s="1"/>
    </row>
    <row r="492" spans="3:12" ht="15" x14ac:dyDescent="0.7">
      <c r="C492" s="1" t="s">
        <v>15</v>
      </c>
      <c r="D492" s="1" t="s">
        <v>25</v>
      </c>
      <c r="H492" s="9">
        <f t="shared" si="13"/>
        <v>0</v>
      </c>
      <c r="L492" s="1"/>
    </row>
    <row r="493" spans="3:12" ht="15" x14ac:dyDescent="0.7">
      <c r="C493" s="1" t="s">
        <v>15</v>
      </c>
      <c r="D493" s="1" t="s">
        <v>26</v>
      </c>
      <c r="H493" s="9">
        <f t="shared" si="13"/>
        <v>0</v>
      </c>
      <c r="L493" s="1"/>
    </row>
    <row r="494" spans="3:12" ht="15" x14ac:dyDescent="0.7">
      <c r="C494" s="1" t="s">
        <v>15</v>
      </c>
      <c r="D494" s="1" t="s">
        <v>27</v>
      </c>
      <c r="H494" s="9">
        <f t="shared" si="13"/>
        <v>0</v>
      </c>
      <c r="L494" s="1"/>
    </row>
    <row r="495" spans="3:12" ht="15" x14ac:dyDescent="0.7">
      <c r="C495" s="1" t="s">
        <v>15</v>
      </c>
      <c r="D495" s="1" t="s">
        <v>28</v>
      </c>
      <c r="H495" s="9">
        <f t="shared" si="13"/>
        <v>0</v>
      </c>
      <c r="L495" s="1"/>
    </row>
    <row r="496" spans="3:12" ht="15" x14ac:dyDescent="0.7">
      <c r="C496" s="1" t="s">
        <v>15</v>
      </c>
      <c r="D496" s="1" t="s">
        <v>29</v>
      </c>
      <c r="H496" s="9">
        <f t="shared" si="13"/>
        <v>0</v>
      </c>
      <c r="L496" s="1"/>
    </row>
    <row r="497" spans="3:12" ht="15" x14ac:dyDescent="0.7">
      <c r="C497" s="1" t="s">
        <v>15</v>
      </c>
      <c r="D497" s="1" t="s">
        <v>30</v>
      </c>
      <c r="H497" s="9">
        <f t="shared" si="13"/>
        <v>0</v>
      </c>
      <c r="L497" s="1"/>
    </row>
    <row r="498" spans="3:12" ht="15" x14ac:dyDescent="0.7">
      <c r="C498" s="1" t="s">
        <v>15</v>
      </c>
      <c r="D498" s="1" t="s">
        <v>31</v>
      </c>
      <c r="H498" s="9">
        <f t="shared" si="13"/>
        <v>0</v>
      </c>
      <c r="L498" s="1"/>
    </row>
    <row r="499" spans="3:12" ht="15" x14ac:dyDescent="0.7">
      <c r="C499" s="1" t="s">
        <v>15</v>
      </c>
      <c r="D499" s="1" t="s">
        <v>32</v>
      </c>
      <c r="H499" s="9">
        <f t="shared" si="13"/>
        <v>0</v>
      </c>
      <c r="L499" s="1"/>
    </row>
    <row r="500" spans="3:12" ht="15" x14ac:dyDescent="0.7">
      <c r="C500" s="1" t="s">
        <v>15</v>
      </c>
      <c r="D500" s="1" t="s">
        <v>33</v>
      </c>
      <c r="H500" s="9">
        <f t="shared" si="13"/>
        <v>0</v>
      </c>
      <c r="L500" s="1"/>
    </row>
    <row r="501" spans="3:12" ht="15" x14ac:dyDescent="0.7">
      <c r="C501" s="1" t="s">
        <v>15</v>
      </c>
      <c r="D501" s="1" t="s">
        <v>44</v>
      </c>
      <c r="H501" s="9">
        <f t="shared" si="13"/>
        <v>0</v>
      </c>
      <c r="L501" s="1"/>
    </row>
    <row r="502" spans="3:12" ht="15" x14ac:dyDescent="0.7">
      <c r="C502" s="1" t="s">
        <v>15</v>
      </c>
      <c r="D502" s="1" t="s">
        <v>48</v>
      </c>
      <c r="H502" s="9">
        <f t="shared" si="13"/>
        <v>0</v>
      </c>
      <c r="L502" s="1"/>
    </row>
    <row r="503" spans="3:12" ht="15" x14ac:dyDescent="0.7">
      <c r="C503" s="1" t="s">
        <v>15</v>
      </c>
      <c r="D503" s="1" t="s">
        <v>50</v>
      </c>
      <c r="H503" s="9">
        <f t="shared" si="13"/>
        <v>0</v>
      </c>
      <c r="L503" s="1"/>
    </row>
    <row r="504" spans="3:12" ht="15" x14ac:dyDescent="0.7">
      <c r="C504" s="1" t="s">
        <v>15</v>
      </c>
      <c r="D504" s="1" t="s">
        <v>51</v>
      </c>
      <c r="H504" s="9">
        <f t="shared" si="13"/>
        <v>0</v>
      </c>
      <c r="L504" s="1"/>
    </row>
    <row r="505" spans="3:12" ht="15" x14ac:dyDescent="0.7">
      <c r="C505" s="1" t="s">
        <v>15</v>
      </c>
      <c r="D505" s="1" t="s">
        <v>52</v>
      </c>
      <c r="H505" s="9">
        <f t="shared" si="13"/>
        <v>0</v>
      </c>
      <c r="L505" s="1"/>
    </row>
    <row r="506" spans="3:12" ht="15" x14ac:dyDescent="0.7">
      <c r="C506" s="1" t="s">
        <v>15</v>
      </c>
      <c r="D506" s="1" t="s">
        <v>53</v>
      </c>
      <c r="H506" s="9">
        <f t="shared" si="13"/>
        <v>0</v>
      </c>
      <c r="L506" s="1"/>
    </row>
    <row r="507" spans="3:12" ht="15" x14ac:dyDescent="0.7">
      <c r="C507" s="1" t="s">
        <v>15</v>
      </c>
      <c r="D507" s="1" t="s">
        <v>54</v>
      </c>
      <c r="H507" s="9">
        <f t="shared" si="13"/>
        <v>0</v>
      </c>
      <c r="L507" s="1"/>
    </row>
    <row r="508" spans="3:12" ht="15" x14ac:dyDescent="0.7">
      <c r="C508" s="1" t="s">
        <v>15</v>
      </c>
      <c r="D508" s="1" t="s">
        <v>55</v>
      </c>
      <c r="H508" s="9">
        <f t="shared" si="13"/>
        <v>0</v>
      </c>
      <c r="L508" s="1"/>
    </row>
    <row r="509" spans="3:12" ht="15" x14ac:dyDescent="0.7">
      <c r="C509" s="1" t="s">
        <v>15</v>
      </c>
      <c r="D509" s="1" t="s">
        <v>56</v>
      </c>
      <c r="H509" s="9">
        <f t="shared" si="13"/>
        <v>0</v>
      </c>
      <c r="L509" s="1"/>
    </row>
    <row r="510" spans="3:12" ht="15" x14ac:dyDescent="0.7">
      <c r="C510" s="1" t="s">
        <v>15</v>
      </c>
      <c r="D510" s="1" t="s">
        <v>57</v>
      </c>
      <c r="H510" s="9">
        <f t="shared" si="13"/>
        <v>0</v>
      </c>
      <c r="L510" s="1"/>
    </row>
    <row r="511" spans="3:12" ht="15" x14ac:dyDescent="0.7">
      <c r="C511" s="1" t="s">
        <v>15</v>
      </c>
      <c r="D511" s="1" t="s">
        <v>58</v>
      </c>
      <c r="H511" s="9">
        <f t="shared" si="13"/>
        <v>0</v>
      </c>
      <c r="L511" s="1"/>
    </row>
    <row r="512" spans="3:12" ht="15" x14ac:dyDescent="0.7">
      <c r="C512" s="1" t="s">
        <v>15</v>
      </c>
      <c r="D512" s="1" t="s">
        <v>64</v>
      </c>
      <c r="H512" s="9">
        <f t="shared" si="13"/>
        <v>0</v>
      </c>
      <c r="L512" s="1"/>
    </row>
    <row r="513" spans="3:12" ht="15" x14ac:dyDescent="0.7">
      <c r="C513" s="1" t="s">
        <v>15</v>
      </c>
      <c r="D513" s="1" t="s">
        <v>66</v>
      </c>
      <c r="H513" s="9">
        <f t="shared" si="13"/>
        <v>0</v>
      </c>
      <c r="L513" s="1"/>
    </row>
    <row r="514" spans="3:12" ht="15" x14ac:dyDescent="0.7">
      <c r="C514" s="1" t="s">
        <v>15</v>
      </c>
      <c r="D514" s="1" t="s">
        <v>67</v>
      </c>
      <c r="H514" s="9">
        <f t="shared" si="13"/>
        <v>0</v>
      </c>
      <c r="L514" s="1"/>
    </row>
    <row r="515" spans="3:12" ht="15" x14ac:dyDescent="0.7">
      <c r="C515" s="1" t="s">
        <v>15</v>
      </c>
      <c r="D515" s="1" t="s">
        <v>79</v>
      </c>
      <c r="H515" s="9">
        <f t="shared" si="13"/>
        <v>0</v>
      </c>
      <c r="L515" s="1"/>
    </row>
    <row r="516" spans="3:12" ht="15" x14ac:dyDescent="0.7">
      <c r="L516" s="1"/>
    </row>
    <row r="517" spans="3:12" ht="15" x14ac:dyDescent="0.7">
      <c r="L517" s="1"/>
    </row>
    <row r="518" spans="3:12" ht="15" x14ac:dyDescent="0.7">
      <c r="L518" s="1"/>
    </row>
    <row r="519" spans="3:12" ht="15" x14ac:dyDescent="0.7">
      <c r="L519" s="1"/>
    </row>
  </sheetData>
  <phoneticPr fontId="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6B1DC-A3B3-4770-9C5B-9343ED0B7774}">
  <dimension ref="B2:E152"/>
  <sheetViews>
    <sheetView topLeftCell="A9" workbookViewId="0">
      <selection activeCell="B26" sqref="B26"/>
    </sheetView>
  </sheetViews>
  <sheetFormatPr defaultRowHeight="15" x14ac:dyDescent="0.7"/>
  <cols>
    <col min="1" max="1" width="9" style="1"/>
    <col min="2" max="2" width="26.25" style="1" bestFit="1" customWidth="1"/>
    <col min="3" max="3" width="38.8125" style="1" bestFit="1" customWidth="1"/>
    <col min="4" max="4" width="33.125" style="1" bestFit="1" customWidth="1"/>
    <col min="5" max="5" width="33.375" style="7" bestFit="1" customWidth="1"/>
    <col min="6" max="6" width="31.25" style="1" bestFit="1" customWidth="1"/>
    <col min="7" max="7" width="23.375" style="1" bestFit="1" customWidth="1"/>
    <col min="8" max="16384" width="9" style="1"/>
  </cols>
  <sheetData>
    <row r="2" spans="2:4" x14ac:dyDescent="0.7">
      <c r="B2" s="6" t="s">
        <v>449</v>
      </c>
      <c r="C2" s="6" t="s">
        <v>450</v>
      </c>
      <c r="D2" s="6" t="s">
        <v>455</v>
      </c>
    </row>
    <row r="3" spans="2:4" x14ac:dyDescent="0.7">
      <c r="B3" s="7" t="s">
        <v>733</v>
      </c>
      <c r="C3" s="1" t="s">
        <v>791</v>
      </c>
    </row>
    <row r="4" spans="2:4" x14ac:dyDescent="0.7">
      <c r="B4" s="7" t="s">
        <v>757</v>
      </c>
      <c r="C4" s="1" t="s">
        <v>792</v>
      </c>
    </row>
    <row r="5" spans="2:4" x14ac:dyDescent="0.7">
      <c r="B5" s="7" t="s">
        <v>715</v>
      </c>
      <c r="C5" s="1" t="s">
        <v>793</v>
      </c>
    </row>
    <row r="6" spans="2:4" x14ac:dyDescent="0.7">
      <c r="B6" s="7" t="s">
        <v>742</v>
      </c>
      <c r="C6" s="1" t="s">
        <v>794</v>
      </c>
    </row>
    <row r="7" spans="2:4" x14ac:dyDescent="0.7">
      <c r="B7" s="7" t="s">
        <v>752</v>
      </c>
      <c r="C7" s="1" t="s">
        <v>795</v>
      </c>
    </row>
    <row r="8" spans="2:4" x14ac:dyDescent="0.7">
      <c r="B8" s="7" t="s">
        <v>736</v>
      </c>
      <c r="C8" s="1" t="s">
        <v>796</v>
      </c>
    </row>
    <row r="9" spans="2:4" x14ac:dyDescent="0.7">
      <c r="B9" s="7" t="s">
        <v>748</v>
      </c>
      <c r="C9" s="1" t="s">
        <v>797</v>
      </c>
    </row>
    <row r="10" spans="2:4" x14ac:dyDescent="0.7">
      <c r="B10" s="7" t="s">
        <v>725</v>
      </c>
      <c r="C10" s="1" t="s">
        <v>798</v>
      </c>
    </row>
    <row r="11" spans="2:4" x14ac:dyDescent="0.7">
      <c r="B11" s="1" t="s">
        <v>694</v>
      </c>
      <c r="C11" s="1" t="s">
        <v>799</v>
      </c>
    </row>
    <row r="12" spans="2:4" x14ac:dyDescent="0.7">
      <c r="B12" s="1" t="s">
        <v>693</v>
      </c>
      <c r="C12" s="1" t="s">
        <v>800</v>
      </c>
    </row>
    <row r="13" spans="2:4" x14ac:dyDescent="0.7">
      <c r="B13" s="7" t="s">
        <v>718</v>
      </c>
      <c r="C13" s="1" t="s">
        <v>801</v>
      </c>
    </row>
    <row r="14" spans="2:4" x14ac:dyDescent="0.7">
      <c r="B14" s="7" t="s">
        <v>718</v>
      </c>
      <c r="C14" s="1" t="s">
        <v>802</v>
      </c>
    </row>
    <row r="15" spans="2:4" x14ac:dyDescent="0.7">
      <c r="B15" s="7" t="s">
        <v>718</v>
      </c>
      <c r="C15" s="1" t="s">
        <v>803</v>
      </c>
    </row>
    <row r="16" spans="2:4" x14ac:dyDescent="0.7">
      <c r="B16" s="7" t="s">
        <v>758</v>
      </c>
      <c r="C16" s="1" t="s">
        <v>804</v>
      </c>
    </row>
    <row r="17" spans="2:3" x14ac:dyDescent="0.7">
      <c r="B17" s="7" t="s">
        <v>784</v>
      </c>
      <c r="C17" s="1" t="s">
        <v>805</v>
      </c>
    </row>
    <row r="18" spans="2:3" x14ac:dyDescent="0.7">
      <c r="B18" s="7" t="s">
        <v>747</v>
      </c>
      <c r="C18" s="1" t="s">
        <v>806</v>
      </c>
    </row>
    <row r="19" spans="2:3" x14ac:dyDescent="0.7">
      <c r="B19" s="7" t="s">
        <v>705</v>
      </c>
      <c r="C19" s="1" t="s">
        <v>807</v>
      </c>
    </row>
    <row r="20" spans="2:3" x14ac:dyDescent="0.7">
      <c r="B20" s="7" t="s">
        <v>765</v>
      </c>
      <c r="C20" s="1" t="s">
        <v>808</v>
      </c>
    </row>
    <row r="21" spans="2:3" x14ac:dyDescent="0.7">
      <c r="B21" s="7" t="s">
        <v>767</v>
      </c>
      <c r="C21" s="1" t="s">
        <v>809</v>
      </c>
    </row>
    <row r="22" spans="2:3" x14ac:dyDescent="0.7">
      <c r="B22" s="7" t="s">
        <v>741</v>
      </c>
      <c r="C22" s="1" t="s">
        <v>810</v>
      </c>
    </row>
    <row r="23" spans="2:3" x14ac:dyDescent="0.7">
      <c r="B23" s="7" t="s">
        <v>741</v>
      </c>
      <c r="C23" s="1" t="s">
        <v>811</v>
      </c>
    </row>
    <row r="24" spans="2:3" x14ac:dyDescent="0.7">
      <c r="B24" s="7" t="s">
        <v>763</v>
      </c>
      <c r="C24" s="1" t="s">
        <v>812</v>
      </c>
    </row>
    <row r="25" spans="2:3" x14ac:dyDescent="0.7">
      <c r="B25" s="7" t="s">
        <v>763</v>
      </c>
      <c r="C25" s="1" t="s">
        <v>813</v>
      </c>
    </row>
    <row r="26" spans="2:3" x14ac:dyDescent="0.7">
      <c r="B26" s="7" t="s">
        <v>766</v>
      </c>
      <c r="C26" s="1" t="s">
        <v>814</v>
      </c>
    </row>
    <row r="27" spans="2:3" x14ac:dyDescent="0.7">
      <c r="B27" s="7" t="s">
        <v>704</v>
      </c>
      <c r="C27" s="1" t="s">
        <v>815</v>
      </c>
    </row>
    <row r="28" spans="2:3" x14ac:dyDescent="0.7">
      <c r="B28" s="7" t="s">
        <v>720</v>
      </c>
      <c r="C28" s="1" t="s">
        <v>816</v>
      </c>
    </row>
    <row r="29" spans="2:3" x14ac:dyDescent="0.7">
      <c r="B29" s="7" t="s">
        <v>720</v>
      </c>
      <c r="C29" s="1" t="s">
        <v>817</v>
      </c>
    </row>
    <row r="30" spans="2:3" x14ac:dyDescent="0.7">
      <c r="B30" s="1" t="s">
        <v>697</v>
      </c>
      <c r="C30" s="1" t="s">
        <v>818</v>
      </c>
    </row>
    <row r="31" spans="2:3" x14ac:dyDescent="0.7">
      <c r="B31" s="7" t="s">
        <v>697</v>
      </c>
      <c r="C31" s="1" t="s">
        <v>819</v>
      </c>
    </row>
    <row r="32" spans="2:3" x14ac:dyDescent="0.7">
      <c r="B32" s="7" t="s">
        <v>721</v>
      </c>
      <c r="C32" s="1" t="s">
        <v>820</v>
      </c>
    </row>
    <row r="33" spans="2:4" x14ac:dyDescent="0.7">
      <c r="B33" s="7" t="s">
        <v>721</v>
      </c>
      <c r="C33" s="1" t="s">
        <v>821</v>
      </c>
    </row>
    <row r="34" spans="2:4" x14ac:dyDescent="0.7">
      <c r="B34" s="7" t="s">
        <v>785</v>
      </c>
      <c r="C34" s="1" t="s">
        <v>822</v>
      </c>
      <c r="D34" s="1" t="s">
        <v>790</v>
      </c>
    </row>
    <row r="35" spans="2:4" x14ac:dyDescent="0.7">
      <c r="B35" s="7" t="s">
        <v>734</v>
      </c>
      <c r="C35" s="1" t="s">
        <v>823</v>
      </c>
    </row>
    <row r="36" spans="2:4" x14ac:dyDescent="0.7">
      <c r="B36" s="7" t="s">
        <v>734</v>
      </c>
      <c r="C36" s="1" t="s">
        <v>824</v>
      </c>
    </row>
    <row r="37" spans="2:4" x14ac:dyDescent="0.7">
      <c r="B37" s="7" t="s">
        <v>734</v>
      </c>
      <c r="C37" s="1" t="s">
        <v>825</v>
      </c>
    </row>
    <row r="38" spans="2:4" x14ac:dyDescent="0.7">
      <c r="B38" s="7" t="s">
        <v>734</v>
      </c>
      <c r="C38" s="1" t="s">
        <v>826</v>
      </c>
    </row>
    <row r="39" spans="2:4" x14ac:dyDescent="0.7">
      <c r="B39" s="7" t="s">
        <v>734</v>
      </c>
      <c r="C39" s="1" t="s">
        <v>827</v>
      </c>
    </row>
    <row r="40" spans="2:4" x14ac:dyDescent="0.7">
      <c r="B40" s="7" t="s">
        <v>734</v>
      </c>
      <c r="C40" s="1" t="s">
        <v>828</v>
      </c>
    </row>
    <row r="41" spans="2:4" x14ac:dyDescent="0.7">
      <c r="B41" s="7" t="s">
        <v>734</v>
      </c>
      <c r="C41" s="1" t="s">
        <v>829</v>
      </c>
    </row>
    <row r="42" spans="2:4" x14ac:dyDescent="0.7">
      <c r="B42" s="7" t="s">
        <v>699</v>
      </c>
      <c r="C42" s="1" t="s">
        <v>830</v>
      </c>
    </row>
    <row r="43" spans="2:4" x14ac:dyDescent="0.7">
      <c r="B43" s="7" t="s">
        <v>699</v>
      </c>
      <c r="C43" s="1" t="s">
        <v>831</v>
      </c>
    </row>
    <row r="44" spans="2:4" x14ac:dyDescent="0.7">
      <c r="B44" s="7" t="s">
        <v>712</v>
      </c>
      <c r="C44" s="1" t="s">
        <v>832</v>
      </c>
    </row>
    <row r="45" spans="2:4" x14ac:dyDescent="0.7">
      <c r="B45" s="7" t="s">
        <v>712</v>
      </c>
      <c r="C45" s="1" t="s">
        <v>833</v>
      </c>
    </row>
    <row r="46" spans="2:4" x14ac:dyDescent="0.7">
      <c r="B46" s="7" t="s">
        <v>712</v>
      </c>
      <c r="C46" s="1" t="s">
        <v>834</v>
      </c>
    </row>
    <row r="47" spans="2:4" x14ac:dyDescent="0.7">
      <c r="B47" s="7" t="s">
        <v>712</v>
      </c>
      <c r="C47" s="1" t="s">
        <v>835</v>
      </c>
    </row>
    <row r="48" spans="2:4" x14ac:dyDescent="0.7">
      <c r="B48" s="7" t="s">
        <v>712</v>
      </c>
      <c r="C48" s="1" t="s">
        <v>836</v>
      </c>
    </row>
    <row r="49" spans="2:4" x14ac:dyDescent="0.7">
      <c r="B49" s="7" t="s">
        <v>708</v>
      </c>
      <c r="C49" s="1" t="s">
        <v>837</v>
      </c>
    </row>
    <row r="50" spans="2:4" x14ac:dyDescent="0.7">
      <c r="B50" s="7" t="s">
        <v>708</v>
      </c>
      <c r="C50" s="1" t="s">
        <v>838</v>
      </c>
    </row>
    <row r="51" spans="2:4" x14ac:dyDescent="0.7">
      <c r="B51" s="7" t="s">
        <v>787</v>
      </c>
      <c r="C51" s="1" t="s">
        <v>839</v>
      </c>
      <c r="D51" s="1" t="s">
        <v>788</v>
      </c>
    </row>
    <row r="52" spans="2:4" x14ac:dyDescent="0.7">
      <c r="B52" s="7" t="s">
        <v>787</v>
      </c>
      <c r="C52" s="1" t="s">
        <v>840</v>
      </c>
      <c r="D52" s="1" t="s">
        <v>788</v>
      </c>
    </row>
    <row r="53" spans="2:4" x14ac:dyDescent="0.7">
      <c r="B53" s="7" t="s">
        <v>783</v>
      </c>
      <c r="C53" s="1" t="s">
        <v>841</v>
      </c>
    </row>
    <row r="54" spans="2:4" x14ac:dyDescent="0.7">
      <c r="B54" s="7" t="s">
        <v>783</v>
      </c>
      <c r="C54" s="1" t="s">
        <v>842</v>
      </c>
    </row>
    <row r="55" spans="2:4" x14ac:dyDescent="0.7">
      <c r="B55" s="7" t="s">
        <v>707</v>
      </c>
      <c r="C55" s="1" t="s">
        <v>843</v>
      </c>
    </row>
    <row r="56" spans="2:4" x14ac:dyDescent="0.7">
      <c r="B56" s="7" t="s">
        <v>707</v>
      </c>
      <c r="C56" s="1" t="s">
        <v>844</v>
      </c>
    </row>
    <row r="57" spans="2:4" x14ac:dyDescent="0.7">
      <c r="B57" s="1" t="s">
        <v>695</v>
      </c>
      <c r="C57" s="1" t="s">
        <v>845</v>
      </c>
    </row>
    <row r="58" spans="2:4" x14ac:dyDescent="0.7">
      <c r="B58" s="1" t="s">
        <v>695</v>
      </c>
      <c r="C58" s="1" t="s">
        <v>846</v>
      </c>
    </row>
    <row r="59" spans="2:4" x14ac:dyDescent="0.7">
      <c r="B59" s="7" t="s">
        <v>714</v>
      </c>
      <c r="C59" s="1" t="s">
        <v>847</v>
      </c>
    </row>
    <row r="60" spans="2:4" x14ac:dyDescent="0.7">
      <c r="B60" s="7" t="s">
        <v>727</v>
      </c>
      <c r="C60" s="1" t="s">
        <v>848</v>
      </c>
    </row>
    <row r="61" spans="2:4" x14ac:dyDescent="0.7">
      <c r="B61" s="7" t="s">
        <v>727</v>
      </c>
      <c r="C61" s="1" t="s">
        <v>849</v>
      </c>
    </row>
    <row r="62" spans="2:4" x14ac:dyDescent="0.7">
      <c r="B62" s="7" t="s">
        <v>710</v>
      </c>
      <c r="C62" s="1" t="s">
        <v>850</v>
      </c>
    </row>
    <row r="63" spans="2:4" x14ac:dyDescent="0.7">
      <c r="B63" s="7" t="s">
        <v>710</v>
      </c>
      <c r="C63" s="1" t="s">
        <v>851</v>
      </c>
    </row>
    <row r="64" spans="2:4" x14ac:dyDescent="0.7">
      <c r="B64" s="7" t="s">
        <v>710</v>
      </c>
      <c r="C64" s="1" t="s">
        <v>852</v>
      </c>
    </row>
    <row r="65" spans="2:3" x14ac:dyDescent="0.7">
      <c r="B65" s="7" t="s">
        <v>710</v>
      </c>
      <c r="C65" s="1" t="s">
        <v>853</v>
      </c>
    </row>
    <row r="66" spans="2:3" x14ac:dyDescent="0.7">
      <c r="B66" s="7" t="s">
        <v>710</v>
      </c>
      <c r="C66" s="1" t="s">
        <v>854</v>
      </c>
    </row>
    <row r="67" spans="2:3" x14ac:dyDescent="0.7">
      <c r="B67" s="7" t="s">
        <v>755</v>
      </c>
      <c r="C67" s="1" t="s">
        <v>855</v>
      </c>
    </row>
    <row r="68" spans="2:3" x14ac:dyDescent="0.7">
      <c r="B68" s="7" t="s">
        <v>755</v>
      </c>
      <c r="C68" s="1" t="s">
        <v>856</v>
      </c>
    </row>
    <row r="69" spans="2:3" x14ac:dyDescent="0.7">
      <c r="B69" s="7" t="s">
        <v>754</v>
      </c>
      <c r="C69" s="1" t="s">
        <v>857</v>
      </c>
    </row>
    <row r="70" spans="2:3" x14ac:dyDescent="0.7">
      <c r="B70" s="7" t="s">
        <v>723</v>
      </c>
      <c r="C70" s="1" t="s">
        <v>858</v>
      </c>
    </row>
    <row r="71" spans="2:3" x14ac:dyDescent="0.7">
      <c r="B71" s="7" t="s">
        <v>781</v>
      </c>
      <c r="C71" s="1" t="s">
        <v>859</v>
      </c>
    </row>
    <row r="72" spans="2:3" x14ac:dyDescent="0.7">
      <c r="B72" s="7" t="s">
        <v>764</v>
      </c>
      <c r="C72" s="1" t="s">
        <v>860</v>
      </c>
    </row>
    <row r="73" spans="2:3" x14ac:dyDescent="0.7">
      <c r="B73" s="7" t="s">
        <v>716</v>
      </c>
      <c r="C73" s="1" t="s">
        <v>861</v>
      </c>
    </row>
    <row r="74" spans="2:3" x14ac:dyDescent="0.7">
      <c r="B74" s="7" t="s">
        <v>716</v>
      </c>
      <c r="C74" s="1" t="s">
        <v>862</v>
      </c>
    </row>
    <row r="75" spans="2:3" x14ac:dyDescent="0.7">
      <c r="B75" s="7" t="s">
        <v>756</v>
      </c>
      <c r="C75" s="1" t="s">
        <v>863</v>
      </c>
    </row>
    <row r="76" spans="2:3" x14ac:dyDescent="0.7">
      <c r="B76" s="7" t="s">
        <v>749</v>
      </c>
      <c r="C76" s="1" t="s">
        <v>864</v>
      </c>
    </row>
    <row r="77" spans="2:3" x14ac:dyDescent="0.7">
      <c r="B77" s="7" t="s">
        <v>745</v>
      </c>
      <c r="C77" s="1" t="s">
        <v>865</v>
      </c>
    </row>
    <row r="78" spans="2:3" x14ac:dyDescent="0.7">
      <c r="B78" s="7" t="s">
        <v>737</v>
      </c>
      <c r="C78" s="1" t="s">
        <v>866</v>
      </c>
    </row>
    <row r="79" spans="2:3" x14ac:dyDescent="0.7">
      <c r="B79" s="7" t="s">
        <v>779</v>
      </c>
      <c r="C79" s="1" t="s">
        <v>867</v>
      </c>
    </row>
    <row r="80" spans="2:3" x14ac:dyDescent="0.7">
      <c r="B80" s="7" t="s">
        <v>775</v>
      </c>
      <c r="C80" s="1" t="s">
        <v>868</v>
      </c>
    </row>
    <row r="81" spans="2:3" x14ac:dyDescent="0.7">
      <c r="B81" s="7" t="s">
        <v>775</v>
      </c>
      <c r="C81" s="1" t="s">
        <v>869</v>
      </c>
    </row>
    <row r="82" spans="2:3" x14ac:dyDescent="0.7">
      <c r="B82" s="7" t="s">
        <v>750</v>
      </c>
      <c r="C82" s="1" t="s">
        <v>870</v>
      </c>
    </row>
    <row r="83" spans="2:3" x14ac:dyDescent="0.7">
      <c r="B83" s="7" t="s">
        <v>750</v>
      </c>
      <c r="C83" s="1" t="s">
        <v>871</v>
      </c>
    </row>
    <row r="84" spans="2:3" x14ac:dyDescent="0.7">
      <c r="B84" s="7" t="s">
        <v>731</v>
      </c>
      <c r="C84" s="1" t="s">
        <v>825</v>
      </c>
    </row>
    <row r="85" spans="2:3" x14ac:dyDescent="0.7">
      <c r="B85" s="7" t="s">
        <v>722</v>
      </c>
      <c r="C85" s="1" t="s">
        <v>872</v>
      </c>
    </row>
    <row r="86" spans="2:3" x14ac:dyDescent="0.7">
      <c r="B86" s="7" t="s">
        <v>701</v>
      </c>
      <c r="C86" s="1" t="s">
        <v>873</v>
      </c>
    </row>
    <row r="87" spans="2:3" x14ac:dyDescent="0.7">
      <c r="B87" s="1" t="s">
        <v>696</v>
      </c>
      <c r="C87" s="1" t="s">
        <v>874</v>
      </c>
    </row>
    <row r="88" spans="2:3" x14ac:dyDescent="0.7">
      <c r="B88" s="7" t="s">
        <v>706</v>
      </c>
      <c r="C88" s="1" t="s">
        <v>875</v>
      </c>
    </row>
    <row r="89" spans="2:3" x14ac:dyDescent="0.7">
      <c r="B89" s="7" t="s">
        <v>760</v>
      </c>
      <c r="C89" s="1" t="s">
        <v>876</v>
      </c>
    </row>
    <row r="90" spans="2:3" x14ac:dyDescent="0.7">
      <c r="B90" s="7" t="s">
        <v>773</v>
      </c>
      <c r="C90" s="1" t="s">
        <v>877</v>
      </c>
    </row>
    <row r="91" spans="2:3" x14ac:dyDescent="0.7">
      <c r="B91" s="7" t="s">
        <v>778</v>
      </c>
      <c r="C91" s="1" t="s">
        <v>878</v>
      </c>
    </row>
    <row r="92" spans="2:3" x14ac:dyDescent="0.7">
      <c r="B92" s="7" t="s">
        <v>735</v>
      </c>
      <c r="C92" s="1" t="s">
        <v>879</v>
      </c>
    </row>
    <row r="93" spans="2:3" x14ac:dyDescent="0.7">
      <c r="B93" s="7" t="s">
        <v>769</v>
      </c>
      <c r="C93" s="1" t="s">
        <v>880</v>
      </c>
    </row>
    <row r="94" spans="2:3" x14ac:dyDescent="0.7">
      <c r="B94" s="7" t="s">
        <v>702</v>
      </c>
      <c r="C94" s="1" t="s">
        <v>881</v>
      </c>
    </row>
    <row r="95" spans="2:3" x14ac:dyDescent="0.7">
      <c r="B95" s="7" t="s">
        <v>772</v>
      </c>
      <c r="C95" s="1" t="s">
        <v>882</v>
      </c>
    </row>
    <row r="96" spans="2:3" x14ac:dyDescent="0.7">
      <c r="B96" s="7" t="s">
        <v>709</v>
      </c>
      <c r="C96" s="1" t="s">
        <v>883</v>
      </c>
    </row>
    <row r="97" spans="2:3" x14ac:dyDescent="0.7">
      <c r="B97" s="7" t="s">
        <v>709</v>
      </c>
      <c r="C97" s="1" t="s">
        <v>884</v>
      </c>
    </row>
    <row r="98" spans="2:3" x14ac:dyDescent="0.7">
      <c r="B98" s="7" t="s">
        <v>777</v>
      </c>
      <c r="C98" s="1" t="s">
        <v>885</v>
      </c>
    </row>
    <row r="99" spans="2:3" x14ac:dyDescent="0.7">
      <c r="B99" s="7" t="s">
        <v>777</v>
      </c>
      <c r="C99" s="1" t="s">
        <v>886</v>
      </c>
    </row>
    <row r="100" spans="2:3" x14ac:dyDescent="0.7">
      <c r="B100" s="7" t="s">
        <v>717</v>
      </c>
      <c r="C100" s="1" t="s">
        <v>887</v>
      </c>
    </row>
    <row r="101" spans="2:3" x14ac:dyDescent="0.7">
      <c r="B101" s="7" t="s">
        <v>728</v>
      </c>
      <c r="C101" s="1" t="s">
        <v>888</v>
      </c>
    </row>
    <row r="102" spans="2:3" x14ac:dyDescent="0.7">
      <c r="B102" s="7" t="s">
        <v>728</v>
      </c>
      <c r="C102" s="1" t="s">
        <v>889</v>
      </c>
    </row>
    <row r="103" spans="2:3" x14ac:dyDescent="0.7">
      <c r="B103" s="7" t="s">
        <v>728</v>
      </c>
      <c r="C103" s="1" t="s">
        <v>890</v>
      </c>
    </row>
    <row r="104" spans="2:3" x14ac:dyDescent="0.7">
      <c r="B104" s="7" t="s">
        <v>711</v>
      </c>
      <c r="C104" s="1" t="s">
        <v>891</v>
      </c>
    </row>
    <row r="105" spans="2:3" x14ac:dyDescent="0.7">
      <c r="B105" s="7" t="s">
        <v>746</v>
      </c>
      <c r="C105" s="1" t="s">
        <v>892</v>
      </c>
    </row>
    <row r="106" spans="2:3" x14ac:dyDescent="0.7">
      <c r="B106" s="7" t="s">
        <v>698</v>
      </c>
      <c r="C106" s="1" t="s">
        <v>893</v>
      </c>
    </row>
    <row r="107" spans="2:3" x14ac:dyDescent="0.7">
      <c r="B107" s="7" t="s">
        <v>776</v>
      </c>
      <c r="C107" s="1" t="s">
        <v>894</v>
      </c>
    </row>
    <row r="108" spans="2:3" x14ac:dyDescent="0.7">
      <c r="B108" s="7" t="s">
        <v>743</v>
      </c>
      <c r="C108" s="1" t="s">
        <v>895</v>
      </c>
    </row>
    <row r="109" spans="2:3" x14ac:dyDescent="0.7">
      <c r="B109" s="7" t="s">
        <v>743</v>
      </c>
      <c r="C109" s="1" t="s">
        <v>896</v>
      </c>
    </row>
    <row r="110" spans="2:3" x14ac:dyDescent="0.7">
      <c r="B110" s="7" t="s">
        <v>744</v>
      </c>
      <c r="C110" s="1" t="s">
        <v>897</v>
      </c>
    </row>
    <row r="111" spans="2:3" x14ac:dyDescent="0.7">
      <c r="B111" s="7" t="s">
        <v>771</v>
      </c>
      <c r="C111" s="1" t="s">
        <v>898</v>
      </c>
    </row>
    <row r="112" spans="2:3" x14ac:dyDescent="0.7">
      <c r="B112" s="7" t="s">
        <v>771</v>
      </c>
      <c r="C112" s="1" t="s">
        <v>899</v>
      </c>
    </row>
    <row r="113" spans="2:3" x14ac:dyDescent="0.7">
      <c r="B113" s="7" t="s">
        <v>724</v>
      </c>
      <c r="C113" s="1" t="s">
        <v>900</v>
      </c>
    </row>
    <row r="114" spans="2:3" x14ac:dyDescent="0.7">
      <c r="B114" s="7" t="s">
        <v>740</v>
      </c>
      <c r="C114" s="1" t="s">
        <v>901</v>
      </c>
    </row>
    <row r="115" spans="2:3" x14ac:dyDescent="0.7">
      <c r="B115" s="7" t="s">
        <v>732</v>
      </c>
      <c r="C115" s="1" t="s">
        <v>902</v>
      </c>
    </row>
    <row r="116" spans="2:3" x14ac:dyDescent="0.7">
      <c r="B116" s="7" t="s">
        <v>753</v>
      </c>
      <c r="C116" s="1" t="s">
        <v>903</v>
      </c>
    </row>
    <row r="117" spans="2:3" x14ac:dyDescent="0.7">
      <c r="B117" s="7" t="s">
        <v>768</v>
      </c>
      <c r="C117" s="1" t="s">
        <v>904</v>
      </c>
    </row>
    <row r="118" spans="2:3" x14ac:dyDescent="0.7">
      <c r="B118" s="7" t="s">
        <v>770</v>
      </c>
      <c r="C118" s="1" t="s">
        <v>905</v>
      </c>
    </row>
    <row r="119" spans="2:3" x14ac:dyDescent="0.7">
      <c r="B119" s="7" t="s">
        <v>770</v>
      </c>
      <c r="C119" s="1" t="s">
        <v>906</v>
      </c>
    </row>
    <row r="120" spans="2:3" x14ac:dyDescent="0.7">
      <c r="B120" s="7" t="s">
        <v>759</v>
      </c>
      <c r="C120" s="1" t="s">
        <v>907</v>
      </c>
    </row>
    <row r="121" spans="2:3" x14ac:dyDescent="0.7">
      <c r="B121" s="7" t="s">
        <v>751</v>
      </c>
      <c r="C121" s="1" t="s">
        <v>908</v>
      </c>
    </row>
    <row r="122" spans="2:3" x14ac:dyDescent="0.7">
      <c r="B122" s="7" t="s">
        <v>739</v>
      </c>
      <c r="C122" s="1" t="s">
        <v>909</v>
      </c>
    </row>
    <row r="123" spans="2:3" x14ac:dyDescent="0.7">
      <c r="B123" s="7" t="s">
        <v>774</v>
      </c>
      <c r="C123" s="1" t="s">
        <v>910</v>
      </c>
    </row>
    <row r="124" spans="2:3" x14ac:dyDescent="0.7">
      <c r="B124" s="7" t="s">
        <v>713</v>
      </c>
      <c r="C124" s="1" t="s">
        <v>911</v>
      </c>
    </row>
    <row r="125" spans="2:3" x14ac:dyDescent="0.7">
      <c r="B125" s="7" t="s">
        <v>713</v>
      </c>
      <c r="C125" s="1" t="s">
        <v>912</v>
      </c>
    </row>
    <row r="126" spans="2:3" x14ac:dyDescent="0.7">
      <c r="B126" s="7" t="s">
        <v>703</v>
      </c>
      <c r="C126" s="1" t="s">
        <v>913</v>
      </c>
    </row>
    <row r="127" spans="2:3" x14ac:dyDescent="0.7">
      <c r="B127" s="7" t="s">
        <v>782</v>
      </c>
      <c r="C127" s="1" t="s">
        <v>914</v>
      </c>
    </row>
    <row r="128" spans="2:3" x14ac:dyDescent="0.7">
      <c r="B128" s="7" t="s">
        <v>782</v>
      </c>
      <c r="C128" s="1" t="s">
        <v>915</v>
      </c>
    </row>
    <row r="129" spans="2:3" x14ac:dyDescent="0.7">
      <c r="B129" s="7" t="s">
        <v>738</v>
      </c>
      <c r="C129" s="1" t="s">
        <v>916</v>
      </c>
    </row>
    <row r="130" spans="2:3" x14ac:dyDescent="0.7">
      <c r="B130" s="7" t="s">
        <v>729</v>
      </c>
      <c r="C130" s="1" t="s">
        <v>917</v>
      </c>
    </row>
    <row r="131" spans="2:3" x14ac:dyDescent="0.7">
      <c r="B131" s="7" t="s">
        <v>729</v>
      </c>
      <c r="C131" s="1" t="s">
        <v>918</v>
      </c>
    </row>
    <row r="132" spans="2:3" x14ac:dyDescent="0.7">
      <c r="B132" s="7" t="s">
        <v>719</v>
      </c>
      <c r="C132" s="1" t="s">
        <v>919</v>
      </c>
    </row>
    <row r="133" spans="2:3" x14ac:dyDescent="0.7">
      <c r="B133" s="7" t="s">
        <v>719</v>
      </c>
      <c r="C133" s="1" t="s">
        <v>920</v>
      </c>
    </row>
    <row r="134" spans="2:3" x14ac:dyDescent="0.7">
      <c r="B134" s="7" t="s">
        <v>762</v>
      </c>
      <c r="C134" s="1" t="s">
        <v>921</v>
      </c>
    </row>
    <row r="135" spans="2:3" x14ac:dyDescent="0.7">
      <c r="B135" s="7" t="s">
        <v>762</v>
      </c>
      <c r="C135" s="1" t="s">
        <v>922</v>
      </c>
    </row>
    <row r="136" spans="2:3" x14ac:dyDescent="0.7">
      <c r="B136" s="7" t="s">
        <v>762</v>
      </c>
      <c r="C136" s="1" t="s">
        <v>923</v>
      </c>
    </row>
    <row r="137" spans="2:3" x14ac:dyDescent="0.7">
      <c r="B137" s="7" t="s">
        <v>762</v>
      </c>
      <c r="C137" s="1" t="s">
        <v>924</v>
      </c>
    </row>
    <row r="138" spans="2:3" x14ac:dyDescent="0.7">
      <c r="B138" s="7" t="s">
        <v>730</v>
      </c>
      <c r="C138" s="1" t="s">
        <v>925</v>
      </c>
    </row>
    <row r="139" spans="2:3" x14ac:dyDescent="0.7">
      <c r="B139" s="7" t="s">
        <v>761</v>
      </c>
      <c r="C139" s="1" t="s">
        <v>926</v>
      </c>
    </row>
    <row r="140" spans="2:3" x14ac:dyDescent="0.7">
      <c r="B140" s="7" t="s">
        <v>761</v>
      </c>
      <c r="C140" s="1" t="s">
        <v>927</v>
      </c>
    </row>
    <row r="141" spans="2:3" x14ac:dyDescent="0.7">
      <c r="B141" s="7" t="s">
        <v>761</v>
      </c>
      <c r="C141" s="1" t="s">
        <v>926</v>
      </c>
    </row>
    <row r="142" spans="2:3" x14ac:dyDescent="0.7">
      <c r="B142" s="7" t="s">
        <v>761</v>
      </c>
      <c r="C142" s="1" t="s">
        <v>928</v>
      </c>
    </row>
    <row r="143" spans="2:3" x14ac:dyDescent="0.7">
      <c r="B143" s="7" t="s">
        <v>700</v>
      </c>
      <c r="C143" s="1" t="s">
        <v>929</v>
      </c>
    </row>
    <row r="144" spans="2:3" x14ac:dyDescent="0.7">
      <c r="B144" s="7" t="s">
        <v>780</v>
      </c>
      <c r="C144" s="1" t="s">
        <v>930</v>
      </c>
    </row>
    <row r="145" spans="2:5" x14ac:dyDescent="0.7">
      <c r="B145" s="7" t="s">
        <v>726</v>
      </c>
      <c r="C145" s="1" t="s">
        <v>931</v>
      </c>
    </row>
    <row r="146" spans="2:5" x14ac:dyDescent="0.7">
      <c r="B146" s="7" t="s">
        <v>786</v>
      </c>
      <c r="C146" s="1" t="s">
        <v>932</v>
      </c>
      <c r="D146" s="1" t="s">
        <v>789</v>
      </c>
    </row>
    <row r="147" spans="2:5" x14ac:dyDescent="0.7">
      <c r="B147" s="7" t="s">
        <v>786</v>
      </c>
      <c r="C147" s="1" t="s">
        <v>933</v>
      </c>
      <c r="D147" s="1" t="s">
        <v>789</v>
      </c>
    </row>
    <row r="148" spans="2:5" x14ac:dyDescent="0.7">
      <c r="B148" s="7" t="s">
        <v>786</v>
      </c>
      <c r="C148" s="1" t="s">
        <v>934</v>
      </c>
      <c r="D148" s="1" t="s">
        <v>789</v>
      </c>
    </row>
    <row r="152" spans="2:5" x14ac:dyDescent="0.7">
      <c r="E152" s="1"/>
    </row>
  </sheetData>
  <sortState xmlns:xlrd2="http://schemas.microsoft.com/office/spreadsheetml/2017/richdata2" ref="E3:G60284">
    <sortCondition ref="E3:E60284"/>
  </sortState>
  <phoneticPr fontId="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8662F-7304-4F88-8EC3-87AE8433847A}">
  <dimension ref="B2:B5"/>
  <sheetViews>
    <sheetView workbookViewId="0">
      <selection activeCell="D1" sqref="D1"/>
    </sheetView>
  </sheetViews>
  <sheetFormatPr defaultRowHeight="17.649999999999999" x14ac:dyDescent="0.7"/>
  <cols>
    <col min="2" max="2" width="22.5625" bestFit="1" customWidth="1"/>
  </cols>
  <sheetData>
    <row r="2" spans="2:2" s="1" customFormat="1" ht="15" x14ac:dyDescent="0.7">
      <c r="B2" s="6" t="s">
        <v>494</v>
      </c>
    </row>
    <row r="3" spans="2:2" x14ac:dyDescent="0.7">
      <c r="B3" s="8" t="s">
        <v>82</v>
      </c>
    </row>
    <row r="4" spans="2:2" x14ac:dyDescent="0.7">
      <c r="B4" s="8" t="s">
        <v>83</v>
      </c>
    </row>
    <row r="5" spans="2:2" x14ac:dyDescent="0.7">
      <c r="B5" s="8" t="s">
        <v>84</v>
      </c>
    </row>
  </sheetData>
  <phoneticPr fontId="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1423C-986C-40F5-A1E7-A3D22D195444}">
  <dimension ref="B2:E74"/>
  <sheetViews>
    <sheetView topLeftCell="C44" workbookViewId="0">
      <selection activeCell="D44" sqref="D44"/>
    </sheetView>
  </sheetViews>
  <sheetFormatPr defaultRowHeight="15" x14ac:dyDescent="0.7"/>
  <cols>
    <col min="1" max="1" width="9" style="1"/>
    <col min="2" max="2" width="26.25" style="1" bestFit="1" customWidth="1"/>
    <col min="3" max="3" width="38.8125" style="1" bestFit="1" customWidth="1"/>
    <col min="4" max="4" width="33.125" style="1" bestFit="1" customWidth="1"/>
    <col min="5" max="5" width="16.1875" style="7" bestFit="1" customWidth="1"/>
    <col min="6" max="6" width="9" style="1"/>
    <col min="7" max="7" width="33.125" style="1" bestFit="1" customWidth="1"/>
    <col min="8" max="16384" width="9" style="1"/>
  </cols>
  <sheetData>
    <row r="2" spans="2:5" x14ac:dyDescent="0.7">
      <c r="B2" s="6" t="s">
        <v>449</v>
      </c>
      <c r="C2" s="6" t="s">
        <v>450</v>
      </c>
      <c r="D2" s="6" t="s">
        <v>455</v>
      </c>
    </row>
    <row r="3" spans="2:5" x14ac:dyDescent="0.7">
      <c r="B3" s="1" t="s">
        <v>332</v>
      </c>
      <c r="C3" s="1" t="s">
        <v>452</v>
      </c>
    </row>
    <row r="4" spans="2:5" x14ac:dyDescent="0.7">
      <c r="B4" s="1" t="s">
        <v>332</v>
      </c>
      <c r="C4" s="1" t="s">
        <v>378</v>
      </c>
      <c r="D4" s="7"/>
      <c r="E4" s="1"/>
    </row>
    <row r="5" spans="2:5" x14ac:dyDescent="0.7">
      <c r="B5" s="1" t="s">
        <v>333</v>
      </c>
      <c r="C5" s="1" t="s">
        <v>379</v>
      </c>
      <c r="D5" s="7"/>
      <c r="E5" s="1"/>
    </row>
    <row r="6" spans="2:5" x14ac:dyDescent="0.7">
      <c r="B6" s="1" t="s">
        <v>334</v>
      </c>
      <c r="C6" s="1" t="s">
        <v>380</v>
      </c>
      <c r="D6" s="7"/>
      <c r="E6" s="1"/>
    </row>
    <row r="7" spans="2:5" x14ac:dyDescent="0.7">
      <c r="B7" s="1" t="s">
        <v>334</v>
      </c>
      <c r="C7" s="1" t="s">
        <v>381</v>
      </c>
      <c r="D7" s="7"/>
      <c r="E7" s="1"/>
    </row>
    <row r="8" spans="2:5" x14ac:dyDescent="0.7">
      <c r="B8" s="1" t="s">
        <v>335</v>
      </c>
      <c r="C8" s="1" t="s">
        <v>382</v>
      </c>
      <c r="D8" s="7"/>
      <c r="E8" s="1"/>
    </row>
    <row r="9" spans="2:5" x14ac:dyDescent="0.7">
      <c r="B9" s="1" t="s">
        <v>336</v>
      </c>
      <c r="C9" s="1" t="s">
        <v>383</v>
      </c>
      <c r="D9" s="7"/>
      <c r="E9" s="1"/>
    </row>
    <row r="10" spans="2:5" x14ac:dyDescent="0.7">
      <c r="B10" s="1" t="s">
        <v>337</v>
      </c>
      <c r="C10" s="1" t="s">
        <v>384</v>
      </c>
      <c r="D10" s="7"/>
      <c r="E10" s="1"/>
    </row>
    <row r="11" spans="2:5" x14ac:dyDescent="0.7">
      <c r="B11" s="1" t="s">
        <v>338</v>
      </c>
      <c r="C11" s="1" t="s">
        <v>385</v>
      </c>
      <c r="D11" s="1" t="s">
        <v>323</v>
      </c>
    </row>
    <row r="12" spans="2:5" x14ac:dyDescent="0.7">
      <c r="B12" s="1" t="s">
        <v>339</v>
      </c>
      <c r="C12" s="1" t="s">
        <v>386</v>
      </c>
      <c r="D12" s="1" t="s">
        <v>323</v>
      </c>
    </row>
    <row r="13" spans="2:5" x14ac:dyDescent="0.7">
      <c r="B13" s="1" t="s">
        <v>339</v>
      </c>
      <c r="C13" s="1" t="s">
        <v>387</v>
      </c>
      <c r="D13" s="1" t="s">
        <v>323</v>
      </c>
    </row>
    <row r="14" spans="2:5" x14ac:dyDescent="0.7">
      <c r="B14" s="1" t="s">
        <v>340</v>
      </c>
      <c r="C14" s="1" t="s">
        <v>388</v>
      </c>
      <c r="D14" s="1" t="s">
        <v>324</v>
      </c>
    </row>
    <row r="15" spans="2:5" x14ac:dyDescent="0.7">
      <c r="B15" s="1" t="s">
        <v>340</v>
      </c>
      <c r="C15" s="1" t="s">
        <v>389</v>
      </c>
      <c r="D15" s="1" t="s">
        <v>324</v>
      </c>
    </row>
    <row r="16" spans="2:5" x14ac:dyDescent="0.7">
      <c r="B16" s="1" t="s">
        <v>341</v>
      </c>
      <c r="C16" s="1" t="s">
        <v>390</v>
      </c>
      <c r="D16" s="1" t="s">
        <v>324</v>
      </c>
    </row>
    <row r="17" spans="2:4" x14ac:dyDescent="0.7">
      <c r="B17" s="1" t="s">
        <v>341</v>
      </c>
      <c r="C17" s="1" t="s">
        <v>391</v>
      </c>
      <c r="D17" s="1" t="s">
        <v>324</v>
      </c>
    </row>
    <row r="18" spans="2:4" x14ac:dyDescent="0.7">
      <c r="B18" s="1" t="s">
        <v>342</v>
      </c>
      <c r="C18" s="1" t="s">
        <v>392</v>
      </c>
      <c r="D18" s="1" t="s">
        <v>324</v>
      </c>
    </row>
    <row r="19" spans="2:4" x14ac:dyDescent="0.7">
      <c r="B19" s="1" t="s">
        <v>342</v>
      </c>
      <c r="C19" s="1" t="s">
        <v>393</v>
      </c>
      <c r="D19" s="1" t="s">
        <v>324</v>
      </c>
    </row>
    <row r="20" spans="2:4" x14ac:dyDescent="0.7">
      <c r="B20" s="1" t="s">
        <v>343</v>
      </c>
      <c r="C20" s="1" t="s">
        <v>394</v>
      </c>
      <c r="D20" s="1" t="s">
        <v>324</v>
      </c>
    </row>
    <row r="21" spans="2:4" x14ac:dyDescent="0.7">
      <c r="B21" s="1" t="s">
        <v>343</v>
      </c>
      <c r="C21" s="1" t="s">
        <v>395</v>
      </c>
      <c r="D21" s="1" t="s">
        <v>324</v>
      </c>
    </row>
    <row r="22" spans="2:4" x14ac:dyDescent="0.7">
      <c r="B22" s="1" t="s">
        <v>343</v>
      </c>
      <c r="C22" s="1" t="s">
        <v>396</v>
      </c>
      <c r="D22" s="1" t="s">
        <v>324</v>
      </c>
    </row>
    <row r="23" spans="2:4" x14ac:dyDescent="0.7">
      <c r="B23" s="1" t="s">
        <v>344</v>
      </c>
      <c r="C23" s="1" t="s">
        <v>397</v>
      </c>
      <c r="D23" s="1" t="s">
        <v>320</v>
      </c>
    </row>
    <row r="24" spans="2:4" x14ac:dyDescent="0.7">
      <c r="B24" s="1" t="s">
        <v>345</v>
      </c>
      <c r="C24" s="1" t="s">
        <v>398</v>
      </c>
      <c r="D24" s="1" t="s">
        <v>320</v>
      </c>
    </row>
    <row r="25" spans="2:4" x14ac:dyDescent="0.7">
      <c r="B25" s="1" t="s">
        <v>346</v>
      </c>
      <c r="C25" s="1" t="s">
        <v>399</v>
      </c>
      <c r="D25" s="1" t="s">
        <v>448</v>
      </c>
    </row>
    <row r="26" spans="2:4" x14ac:dyDescent="0.7">
      <c r="B26" s="1" t="s">
        <v>346</v>
      </c>
      <c r="C26" s="1" t="s">
        <v>400</v>
      </c>
      <c r="D26" s="1" t="s">
        <v>448</v>
      </c>
    </row>
    <row r="27" spans="2:4" x14ac:dyDescent="0.7">
      <c r="B27" s="1" t="s">
        <v>346</v>
      </c>
      <c r="C27" s="1" t="s">
        <v>401</v>
      </c>
      <c r="D27" s="1" t="s">
        <v>448</v>
      </c>
    </row>
    <row r="28" spans="2:4" x14ac:dyDescent="0.7">
      <c r="B28" s="1" t="s">
        <v>347</v>
      </c>
      <c r="C28" s="1" t="s">
        <v>402</v>
      </c>
      <c r="D28" s="1" t="s">
        <v>448</v>
      </c>
    </row>
    <row r="29" spans="2:4" x14ac:dyDescent="0.7">
      <c r="B29" s="1" t="s">
        <v>348</v>
      </c>
      <c r="C29" s="1" t="s">
        <v>403</v>
      </c>
      <c r="D29" s="1" t="s">
        <v>448</v>
      </c>
    </row>
    <row r="30" spans="2:4" x14ac:dyDescent="0.7">
      <c r="B30" s="1" t="s">
        <v>349</v>
      </c>
      <c r="C30" s="1" t="s">
        <v>404</v>
      </c>
      <c r="D30" s="1" t="s">
        <v>321</v>
      </c>
    </row>
    <row r="31" spans="2:4" x14ac:dyDescent="0.7">
      <c r="B31" s="1" t="s">
        <v>349</v>
      </c>
      <c r="C31" s="1" t="s">
        <v>405</v>
      </c>
      <c r="D31" s="1" t="s">
        <v>321</v>
      </c>
    </row>
    <row r="32" spans="2:4" x14ac:dyDescent="0.7">
      <c r="B32" s="1" t="s">
        <v>349</v>
      </c>
      <c r="C32" s="1" t="s">
        <v>406</v>
      </c>
      <c r="D32" s="1" t="s">
        <v>321</v>
      </c>
    </row>
    <row r="33" spans="2:4" x14ac:dyDescent="0.7">
      <c r="B33" s="1" t="s">
        <v>350</v>
      </c>
      <c r="C33" s="1" t="s">
        <v>407</v>
      </c>
      <c r="D33" s="1" t="s">
        <v>322</v>
      </c>
    </row>
    <row r="34" spans="2:4" x14ac:dyDescent="0.7">
      <c r="B34" s="1" t="s">
        <v>351</v>
      </c>
      <c r="C34" s="1" t="s">
        <v>408</v>
      </c>
      <c r="D34" s="1" t="s">
        <v>448</v>
      </c>
    </row>
    <row r="35" spans="2:4" x14ac:dyDescent="0.7">
      <c r="B35" s="1" t="s">
        <v>352</v>
      </c>
      <c r="C35" s="1" t="s">
        <v>409</v>
      </c>
      <c r="D35" s="1" t="s">
        <v>448</v>
      </c>
    </row>
    <row r="36" spans="2:4" x14ac:dyDescent="0.7">
      <c r="B36" s="1" t="s">
        <v>353</v>
      </c>
      <c r="C36" s="1" t="s">
        <v>410</v>
      </c>
      <c r="D36" s="1" t="s">
        <v>448</v>
      </c>
    </row>
    <row r="37" spans="2:4" x14ac:dyDescent="0.7">
      <c r="B37" s="1" t="s">
        <v>354</v>
      </c>
      <c r="C37" s="1" t="s">
        <v>411</v>
      </c>
      <c r="D37" s="1" t="s">
        <v>448</v>
      </c>
    </row>
    <row r="38" spans="2:4" x14ac:dyDescent="0.7">
      <c r="B38" s="1" t="s">
        <v>354</v>
      </c>
      <c r="C38" s="1" t="s">
        <v>412</v>
      </c>
      <c r="D38" s="1" t="s">
        <v>448</v>
      </c>
    </row>
    <row r="39" spans="2:4" x14ac:dyDescent="0.7">
      <c r="B39" s="1" t="s">
        <v>355</v>
      </c>
      <c r="C39" s="1" t="s">
        <v>413</v>
      </c>
      <c r="D39" s="1" t="s">
        <v>448</v>
      </c>
    </row>
    <row r="40" spans="2:4" x14ac:dyDescent="0.7">
      <c r="B40" s="1" t="s">
        <v>356</v>
      </c>
      <c r="C40" s="1" t="s">
        <v>414</v>
      </c>
      <c r="D40" s="1" t="s">
        <v>448</v>
      </c>
    </row>
    <row r="41" spans="2:4" x14ac:dyDescent="0.7">
      <c r="B41" s="1" t="s">
        <v>357</v>
      </c>
      <c r="C41" s="1" t="s">
        <v>451</v>
      </c>
      <c r="D41" s="1" t="s">
        <v>448</v>
      </c>
    </row>
    <row r="42" spans="2:4" x14ac:dyDescent="0.7">
      <c r="B42" s="1" t="s">
        <v>358</v>
      </c>
      <c r="C42" s="1" t="s">
        <v>415</v>
      </c>
      <c r="D42" s="1" t="s">
        <v>448</v>
      </c>
    </row>
    <row r="43" spans="2:4" x14ac:dyDescent="0.7">
      <c r="B43" s="1" t="s">
        <v>358</v>
      </c>
      <c r="C43" s="1" t="s">
        <v>416</v>
      </c>
      <c r="D43" s="1" t="s">
        <v>448</v>
      </c>
    </row>
    <row r="44" spans="2:4" x14ac:dyDescent="0.7">
      <c r="B44" s="1" t="s">
        <v>359</v>
      </c>
      <c r="C44" s="1" t="s">
        <v>417</v>
      </c>
      <c r="D44" s="1" t="s">
        <v>448</v>
      </c>
    </row>
    <row r="45" spans="2:4" x14ac:dyDescent="0.7">
      <c r="B45" s="1" t="s">
        <v>360</v>
      </c>
      <c r="C45" s="1" t="s">
        <v>418</v>
      </c>
      <c r="D45" s="1" t="s">
        <v>448</v>
      </c>
    </row>
    <row r="46" spans="2:4" x14ac:dyDescent="0.7">
      <c r="B46" s="1" t="s">
        <v>361</v>
      </c>
      <c r="C46" s="1" t="s">
        <v>419</v>
      </c>
      <c r="D46" s="1" t="s">
        <v>448</v>
      </c>
    </row>
    <row r="47" spans="2:4" x14ac:dyDescent="0.7">
      <c r="B47" s="1" t="s">
        <v>362</v>
      </c>
      <c r="C47" s="1" t="s">
        <v>420</v>
      </c>
      <c r="D47" s="1" t="s">
        <v>448</v>
      </c>
    </row>
    <row r="48" spans="2:4" x14ac:dyDescent="0.7">
      <c r="B48" s="1" t="s">
        <v>363</v>
      </c>
      <c r="C48" s="1" t="s">
        <v>421</v>
      </c>
      <c r="D48" s="1" t="s">
        <v>325</v>
      </c>
    </row>
    <row r="49" spans="2:4" x14ac:dyDescent="0.7">
      <c r="B49" s="1" t="s">
        <v>364</v>
      </c>
      <c r="C49" s="1" t="s">
        <v>422</v>
      </c>
      <c r="D49" s="1" t="s">
        <v>448</v>
      </c>
    </row>
    <row r="50" spans="2:4" x14ac:dyDescent="0.7">
      <c r="B50" s="1" t="s">
        <v>365</v>
      </c>
      <c r="C50" s="1" t="s">
        <v>423</v>
      </c>
      <c r="D50" s="1" t="s">
        <v>448</v>
      </c>
    </row>
    <row r="51" spans="2:4" x14ac:dyDescent="0.7">
      <c r="B51" s="1" t="s">
        <v>366</v>
      </c>
      <c r="C51" s="1" t="s">
        <v>424</v>
      </c>
      <c r="D51" s="1" t="s">
        <v>448</v>
      </c>
    </row>
    <row r="52" spans="2:4" x14ac:dyDescent="0.7">
      <c r="B52" s="1" t="s">
        <v>367</v>
      </c>
      <c r="C52" s="1" t="s">
        <v>425</v>
      </c>
      <c r="D52" s="1" t="s">
        <v>448</v>
      </c>
    </row>
    <row r="53" spans="2:4" x14ac:dyDescent="0.7">
      <c r="B53" s="1" t="s">
        <v>367</v>
      </c>
      <c r="C53" s="1" t="s">
        <v>426</v>
      </c>
      <c r="D53" s="1" t="s">
        <v>448</v>
      </c>
    </row>
    <row r="54" spans="2:4" x14ac:dyDescent="0.7">
      <c r="B54" s="1" t="s">
        <v>368</v>
      </c>
      <c r="C54" s="1" t="s">
        <v>427</v>
      </c>
      <c r="D54" s="1" t="s">
        <v>448</v>
      </c>
    </row>
    <row r="55" spans="2:4" x14ac:dyDescent="0.7">
      <c r="B55" s="1" t="s">
        <v>368</v>
      </c>
      <c r="C55" s="1" t="s">
        <v>428</v>
      </c>
      <c r="D55" s="1" t="s">
        <v>448</v>
      </c>
    </row>
    <row r="56" spans="2:4" x14ac:dyDescent="0.7">
      <c r="B56" s="1" t="s">
        <v>369</v>
      </c>
      <c r="C56" s="1" t="s">
        <v>429</v>
      </c>
      <c r="D56" s="1" t="s">
        <v>454</v>
      </c>
    </row>
    <row r="57" spans="2:4" x14ac:dyDescent="0.7">
      <c r="B57" s="1" t="s">
        <v>370</v>
      </c>
      <c r="C57" s="1" t="s">
        <v>430</v>
      </c>
      <c r="D57" s="1" t="s">
        <v>454</v>
      </c>
    </row>
    <row r="58" spans="2:4" x14ac:dyDescent="0.7">
      <c r="B58" s="1" t="s">
        <v>371</v>
      </c>
      <c r="C58" s="1" t="s">
        <v>431</v>
      </c>
      <c r="D58" s="1" t="s">
        <v>453</v>
      </c>
    </row>
    <row r="59" spans="2:4" x14ac:dyDescent="0.7">
      <c r="B59" s="1" t="s">
        <v>372</v>
      </c>
      <c r="C59" s="1" t="s">
        <v>432</v>
      </c>
      <c r="D59" s="1" t="s">
        <v>448</v>
      </c>
    </row>
    <row r="60" spans="2:4" x14ac:dyDescent="0.7">
      <c r="B60" s="1" t="s">
        <v>373</v>
      </c>
      <c r="C60" s="1" t="s">
        <v>433</v>
      </c>
      <c r="D60" s="1" t="s">
        <v>448</v>
      </c>
    </row>
    <row r="61" spans="2:4" x14ac:dyDescent="0.7">
      <c r="B61" s="1" t="s">
        <v>374</v>
      </c>
      <c r="C61" s="1" t="s">
        <v>434</v>
      </c>
      <c r="D61" s="1" t="s">
        <v>448</v>
      </c>
    </row>
    <row r="62" spans="2:4" x14ac:dyDescent="0.7">
      <c r="B62" s="1" t="s">
        <v>375</v>
      </c>
      <c r="C62" s="1" t="s">
        <v>435</v>
      </c>
      <c r="D62" s="1" t="s">
        <v>448</v>
      </c>
    </row>
    <row r="63" spans="2:4" x14ac:dyDescent="0.7">
      <c r="B63" s="1" t="s">
        <v>375</v>
      </c>
      <c r="C63" s="1" t="s">
        <v>436</v>
      </c>
      <c r="D63" s="1" t="s">
        <v>448</v>
      </c>
    </row>
    <row r="64" spans="2:4" x14ac:dyDescent="0.7">
      <c r="B64" s="1" t="s">
        <v>375</v>
      </c>
      <c r="C64" s="1" t="s">
        <v>437</v>
      </c>
      <c r="D64" s="1" t="s">
        <v>448</v>
      </c>
    </row>
    <row r="65" spans="2:4" x14ac:dyDescent="0.7">
      <c r="B65" s="1" t="s">
        <v>376</v>
      </c>
      <c r="C65" s="1" t="s">
        <v>438</v>
      </c>
      <c r="D65" s="1" t="s">
        <v>448</v>
      </c>
    </row>
    <row r="66" spans="2:4" x14ac:dyDescent="0.7">
      <c r="B66" s="1" t="s">
        <v>377</v>
      </c>
      <c r="C66" s="1" t="s">
        <v>439</v>
      </c>
      <c r="D66" s="1" t="s">
        <v>448</v>
      </c>
    </row>
    <row r="67" spans="2:4" x14ac:dyDescent="0.7">
      <c r="B67" s="1" t="s">
        <v>377</v>
      </c>
      <c r="C67" s="1" t="s">
        <v>440</v>
      </c>
      <c r="D67" s="1" t="s">
        <v>448</v>
      </c>
    </row>
    <row r="68" spans="2:4" x14ac:dyDescent="0.7">
      <c r="B68" s="1" t="s">
        <v>377</v>
      </c>
      <c r="C68" s="1" t="s">
        <v>441</v>
      </c>
      <c r="D68" s="1" t="s">
        <v>448</v>
      </c>
    </row>
    <row r="69" spans="2:4" x14ac:dyDescent="0.7">
      <c r="B69" s="1" t="s">
        <v>377</v>
      </c>
      <c r="C69" s="1" t="s">
        <v>442</v>
      </c>
      <c r="D69" s="1" t="s">
        <v>448</v>
      </c>
    </row>
    <row r="70" spans="2:4" x14ac:dyDescent="0.7">
      <c r="B70" s="1" t="s">
        <v>377</v>
      </c>
      <c r="C70" s="1" t="s">
        <v>443</v>
      </c>
      <c r="D70" s="1" t="s">
        <v>448</v>
      </c>
    </row>
    <row r="71" spans="2:4" x14ac:dyDescent="0.7">
      <c r="B71" s="1" t="s">
        <v>377</v>
      </c>
      <c r="C71" s="1" t="s">
        <v>444</v>
      </c>
      <c r="D71" s="1" t="s">
        <v>448</v>
      </c>
    </row>
    <row r="72" spans="2:4" x14ac:dyDescent="0.7">
      <c r="B72" s="1" t="s">
        <v>377</v>
      </c>
      <c r="C72" s="1" t="s">
        <v>445</v>
      </c>
      <c r="D72" s="1" t="s">
        <v>448</v>
      </c>
    </row>
    <row r="73" spans="2:4" x14ac:dyDescent="0.7">
      <c r="B73" s="1" t="s">
        <v>365</v>
      </c>
      <c r="C73" s="1" t="s">
        <v>446</v>
      </c>
      <c r="D73" s="1" t="s">
        <v>448</v>
      </c>
    </row>
    <row r="74" spans="2:4" x14ac:dyDescent="0.7">
      <c r="B74" s="1" t="s">
        <v>353</v>
      </c>
      <c r="C74" s="1" t="s">
        <v>447</v>
      </c>
      <c r="D74" s="1" t="s">
        <v>448</v>
      </c>
    </row>
  </sheetData>
  <sortState xmlns:xlrd2="http://schemas.microsoft.com/office/spreadsheetml/2017/richdata2" ref="B3:D74">
    <sortCondition ref="D3:D74"/>
  </sortState>
  <phoneticPr fontId="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2873A-83BF-4898-8CCD-0F33CF2A42E2}">
  <dimension ref="B2:E68"/>
  <sheetViews>
    <sheetView workbookViewId="0">
      <selection activeCell="C20" sqref="C20"/>
    </sheetView>
  </sheetViews>
  <sheetFormatPr defaultRowHeight="15" x14ac:dyDescent="0.7"/>
  <cols>
    <col min="1" max="1" width="9" style="1"/>
    <col min="2" max="2" width="26.25" style="1" bestFit="1" customWidth="1"/>
    <col min="3" max="3" width="38.8125" style="1" bestFit="1" customWidth="1"/>
    <col min="4" max="4" width="16.1875" style="1" bestFit="1" customWidth="1"/>
    <col min="5" max="5" width="9" style="1"/>
    <col min="6" max="6" width="33.125" style="1" bestFit="1" customWidth="1"/>
    <col min="7" max="16384" width="9" style="1"/>
  </cols>
  <sheetData>
    <row r="2" spans="2:5" x14ac:dyDescent="0.7">
      <c r="B2" s="6" t="s">
        <v>449</v>
      </c>
      <c r="C2" s="6" t="s">
        <v>450</v>
      </c>
    </row>
    <row r="3" spans="2:5" x14ac:dyDescent="0.7">
      <c r="B3" s="1" t="s">
        <v>457</v>
      </c>
      <c r="C3" s="1" t="s">
        <v>459</v>
      </c>
      <c r="D3" s="1" t="str">
        <f>IF(COUNTIFS($B$3:B3,B3,$C$3:C3,C3)&gt;1,"重複","")</f>
        <v/>
      </c>
    </row>
    <row r="4" spans="2:5" x14ac:dyDescent="0.7">
      <c r="B4" s="1" t="s">
        <v>457</v>
      </c>
      <c r="C4" s="1" t="s">
        <v>460</v>
      </c>
      <c r="D4" s="1" t="str">
        <f>IF(COUNTIFS($B$3:B4,B4,$C$3:C4,C4)&gt;1,"重複","")</f>
        <v/>
      </c>
    </row>
    <row r="5" spans="2:5" x14ac:dyDescent="0.7">
      <c r="B5" s="1" t="s">
        <v>458</v>
      </c>
      <c r="C5" s="1" t="s">
        <v>461</v>
      </c>
      <c r="D5" s="1" t="str">
        <f>IF(COUNTIFS($B$3:B5,B5,$C$3:C5,C5)&gt;1,"重複","")</f>
        <v/>
      </c>
    </row>
    <row r="11" spans="2:5" s="7" customFormat="1" x14ac:dyDescent="0.7">
      <c r="B11" s="1"/>
      <c r="C11" s="1"/>
      <c r="D11" s="1"/>
      <c r="E11" s="1"/>
    </row>
    <row r="12" spans="2:5" s="7" customFormat="1" x14ac:dyDescent="0.7">
      <c r="B12" s="1"/>
      <c r="C12" s="1"/>
      <c r="D12" s="1"/>
      <c r="E12" s="1"/>
    </row>
    <row r="13" spans="2:5" s="7" customFormat="1" x14ac:dyDescent="0.7">
      <c r="B13" s="1"/>
      <c r="C13" s="1"/>
      <c r="D13" s="1"/>
      <c r="E13" s="1"/>
    </row>
    <row r="14" spans="2:5" s="7" customFormat="1" x14ac:dyDescent="0.7">
      <c r="B14" s="1"/>
      <c r="C14" s="1"/>
      <c r="D14" s="1"/>
      <c r="E14" s="1"/>
    </row>
    <row r="15" spans="2:5" s="7" customFormat="1" x14ac:dyDescent="0.7">
      <c r="B15" s="1"/>
      <c r="C15" s="1"/>
      <c r="D15" s="1"/>
      <c r="E15" s="1"/>
    </row>
    <row r="16" spans="2:5" s="7" customFormat="1" x14ac:dyDescent="0.7">
      <c r="B16" s="1"/>
      <c r="C16" s="1"/>
      <c r="D16" s="1"/>
      <c r="E16" s="1"/>
    </row>
    <row r="17" spans="2:5" s="7" customFormat="1" x14ac:dyDescent="0.7">
      <c r="B17" s="1"/>
      <c r="C17" s="1"/>
      <c r="D17" s="1"/>
      <c r="E17" s="1"/>
    </row>
    <row r="18" spans="2:5" s="7" customFormat="1" x14ac:dyDescent="0.7">
      <c r="B18" s="1"/>
      <c r="C18" s="1"/>
      <c r="D18" s="1"/>
      <c r="E18" s="1"/>
    </row>
    <row r="19" spans="2:5" s="7" customFormat="1" x14ac:dyDescent="0.7">
      <c r="B19" s="1"/>
      <c r="C19" s="1"/>
      <c r="D19" s="1"/>
      <c r="E19" s="1"/>
    </row>
    <row r="20" spans="2:5" s="7" customFormat="1" x14ac:dyDescent="0.7">
      <c r="B20" s="1"/>
      <c r="C20" s="1"/>
      <c r="D20" s="1"/>
      <c r="E20" s="1"/>
    </row>
    <row r="21" spans="2:5" s="7" customFormat="1" x14ac:dyDescent="0.7">
      <c r="B21" s="1"/>
      <c r="C21" s="1"/>
      <c r="D21" s="1"/>
      <c r="E21" s="1"/>
    </row>
    <row r="22" spans="2:5" s="7" customFormat="1" x14ac:dyDescent="0.7">
      <c r="B22" s="1"/>
      <c r="C22" s="1"/>
      <c r="D22" s="1"/>
      <c r="E22" s="1"/>
    </row>
    <row r="23" spans="2:5" s="7" customFormat="1" x14ac:dyDescent="0.7">
      <c r="B23" s="1"/>
      <c r="C23" s="1"/>
      <c r="D23" s="1"/>
      <c r="E23" s="1"/>
    </row>
    <row r="24" spans="2:5" s="7" customFormat="1" x14ac:dyDescent="0.7">
      <c r="B24" s="1"/>
      <c r="C24" s="1"/>
      <c r="D24" s="1"/>
      <c r="E24" s="1"/>
    </row>
    <row r="25" spans="2:5" s="7" customFormat="1" x14ac:dyDescent="0.7">
      <c r="B25" s="1"/>
      <c r="C25" s="1"/>
      <c r="D25" s="1"/>
      <c r="E25" s="1"/>
    </row>
    <row r="26" spans="2:5" s="7" customFormat="1" x14ac:dyDescent="0.7">
      <c r="B26" s="1"/>
      <c r="C26" s="1"/>
      <c r="D26" s="1"/>
      <c r="E26" s="1"/>
    </row>
    <row r="27" spans="2:5" s="7" customFormat="1" x14ac:dyDescent="0.7">
      <c r="B27" s="1"/>
      <c r="C27" s="1"/>
      <c r="D27" s="1"/>
      <c r="E27" s="1"/>
    </row>
    <row r="28" spans="2:5" s="7" customFormat="1" x14ac:dyDescent="0.7">
      <c r="B28" s="1"/>
      <c r="C28" s="1"/>
      <c r="D28" s="1"/>
      <c r="E28" s="1"/>
    </row>
    <row r="29" spans="2:5" s="7" customFormat="1" x14ac:dyDescent="0.7">
      <c r="B29" s="1"/>
      <c r="C29" s="1"/>
      <c r="D29" s="1"/>
      <c r="E29" s="1"/>
    </row>
    <row r="30" spans="2:5" s="7" customFormat="1" x14ac:dyDescent="0.7">
      <c r="B30" s="1"/>
      <c r="C30" s="1"/>
      <c r="D30" s="1"/>
      <c r="E30" s="1"/>
    </row>
    <row r="31" spans="2:5" s="7" customFormat="1" x14ac:dyDescent="0.7">
      <c r="B31" s="1"/>
      <c r="C31" s="1"/>
      <c r="D31" s="1"/>
      <c r="E31" s="1"/>
    </row>
    <row r="32" spans="2:5" s="7" customFormat="1" x14ac:dyDescent="0.7">
      <c r="B32" s="1"/>
      <c r="C32" s="1"/>
      <c r="D32" s="1"/>
      <c r="E32" s="1"/>
    </row>
    <row r="33" spans="2:5" s="7" customFormat="1" x14ac:dyDescent="0.7">
      <c r="B33" s="1"/>
      <c r="C33" s="1"/>
      <c r="D33" s="1"/>
      <c r="E33" s="1"/>
    </row>
    <row r="34" spans="2:5" s="7" customFormat="1" x14ac:dyDescent="0.7">
      <c r="B34" s="1"/>
      <c r="C34" s="1"/>
      <c r="D34" s="1"/>
      <c r="E34" s="1"/>
    </row>
    <row r="35" spans="2:5" s="7" customFormat="1" x14ac:dyDescent="0.7">
      <c r="B35" s="1"/>
      <c r="C35" s="1"/>
      <c r="D35" s="1"/>
      <c r="E35" s="1"/>
    </row>
    <row r="36" spans="2:5" s="7" customFormat="1" x14ac:dyDescent="0.7">
      <c r="B36" s="1"/>
      <c r="C36" s="1"/>
      <c r="D36" s="1"/>
      <c r="E36" s="1"/>
    </row>
    <row r="37" spans="2:5" s="7" customFormat="1" x14ac:dyDescent="0.7">
      <c r="B37" s="1"/>
      <c r="C37" s="1"/>
      <c r="D37" s="1"/>
      <c r="E37" s="1"/>
    </row>
    <row r="38" spans="2:5" s="7" customFormat="1" x14ac:dyDescent="0.7">
      <c r="B38" s="1"/>
      <c r="C38" s="1"/>
      <c r="D38" s="1"/>
      <c r="E38" s="1"/>
    </row>
    <row r="39" spans="2:5" s="7" customFormat="1" x14ac:dyDescent="0.7">
      <c r="B39" s="1"/>
      <c r="C39" s="1"/>
      <c r="D39" s="1"/>
      <c r="E39" s="1"/>
    </row>
    <row r="40" spans="2:5" s="7" customFormat="1" x14ac:dyDescent="0.7">
      <c r="B40" s="1"/>
      <c r="C40" s="1"/>
      <c r="D40" s="1"/>
      <c r="E40" s="1"/>
    </row>
    <row r="41" spans="2:5" s="7" customFormat="1" x14ac:dyDescent="0.7">
      <c r="B41" s="1"/>
      <c r="C41" s="1"/>
      <c r="D41" s="1"/>
      <c r="E41" s="1"/>
    </row>
    <row r="42" spans="2:5" s="7" customFormat="1" x14ac:dyDescent="0.7">
      <c r="B42" s="1"/>
      <c r="C42" s="1"/>
      <c r="D42" s="1"/>
      <c r="E42" s="1"/>
    </row>
    <row r="43" spans="2:5" s="7" customFormat="1" x14ac:dyDescent="0.7">
      <c r="B43" s="1"/>
      <c r="C43" s="1"/>
      <c r="D43" s="1"/>
      <c r="E43" s="1"/>
    </row>
    <row r="44" spans="2:5" s="7" customFormat="1" x14ac:dyDescent="0.7">
      <c r="B44" s="1"/>
      <c r="C44" s="1"/>
      <c r="D44" s="1"/>
      <c r="E44" s="1"/>
    </row>
    <row r="45" spans="2:5" s="7" customFormat="1" x14ac:dyDescent="0.7">
      <c r="B45" s="1"/>
      <c r="C45" s="1"/>
      <c r="D45" s="1"/>
      <c r="E45" s="1"/>
    </row>
    <row r="46" spans="2:5" s="7" customFormat="1" x14ac:dyDescent="0.7">
      <c r="B46" s="1"/>
      <c r="C46" s="1"/>
      <c r="D46" s="1"/>
      <c r="E46" s="1"/>
    </row>
    <row r="47" spans="2:5" s="7" customFormat="1" x14ac:dyDescent="0.7">
      <c r="B47" s="1"/>
      <c r="C47" s="1"/>
      <c r="D47" s="1"/>
      <c r="E47" s="1"/>
    </row>
    <row r="48" spans="2:5" s="7" customFormat="1" x14ac:dyDescent="0.7">
      <c r="B48" s="1"/>
      <c r="C48" s="1"/>
      <c r="D48" s="1"/>
      <c r="E48" s="1"/>
    </row>
    <row r="49" spans="2:5" s="7" customFormat="1" x14ac:dyDescent="0.7">
      <c r="B49" s="1"/>
      <c r="C49" s="1"/>
      <c r="D49" s="1"/>
      <c r="E49" s="1"/>
    </row>
    <row r="50" spans="2:5" s="7" customFormat="1" x14ac:dyDescent="0.7">
      <c r="B50" s="1"/>
      <c r="C50" s="1"/>
      <c r="D50" s="1"/>
      <c r="E50" s="1"/>
    </row>
    <row r="51" spans="2:5" s="7" customFormat="1" x14ac:dyDescent="0.7">
      <c r="B51" s="1"/>
      <c r="C51" s="1"/>
      <c r="D51" s="1"/>
      <c r="E51" s="1"/>
    </row>
    <row r="52" spans="2:5" s="7" customFormat="1" x14ac:dyDescent="0.7">
      <c r="B52" s="1"/>
      <c r="C52" s="1"/>
      <c r="D52" s="1"/>
      <c r="E52" s="1"/>
    </row>
    <row r="53" spans="2:5" s="7" customFormat="1" x14ac:dyDescent="0.7">
      <c r="B53" s="1"/>
      <c r="C53" s="1"/>
      <c r="D53" s="1"/>
      <c r="E53" s="1"/>
    </row>
    <row r="54" spans="2:5" s="7" customFormat="1" x14ac:dyDescent="0.7">
      <c r="B54" s="1"/>
      <c r="C54" s="1"/>
      <c r="D54" s="1"/>
      <c r="E54" s="1"/>
    </row>
    <row r="55" spans="2:5" s="7" customFormat="1" x14ac:dyDescent="0.7">
      <c r="B55" s="1"/>
      <c r="C55" s="1"/>
      <c r="D55" s="1"/>
      <c r="E55" s="1"/>
    </row>
    <row r="56" spans="2:5" s="7" customFormat="1" x14ac:dyDescent="0.7">
      <c r="B56" s="1"/>
      <c r="C56" s="1"/>
      <c r="D56" s="1"/>
      <c r="E56" s="1"/>
    </row>
    <row r="57" spans="2:5" s="7" customFormat="1" x14ac:dyDescent="0.7">
      <c r="B57" s="1"/>
      <c r="C57" s="1"/>
      <c r="D57" s="1"/>
      <c r="E57" s="1"/>
    </row>
    <row r="58" spans="2:5" s="7" customFormat="1" x14ac:dyDescent="0.7">
      <c r="B58" s="1"/>
      <c r="C58" s="1"/>
      <c r="D58" s="1"/>
      <c r="E58" s="1"/>
    </row>
    <row r="59" spans="2:5" s="7" customFormat="1" x14ac:dyDescent="0.7">
      <c r="B59" s="1"/>
      <c r="C59" s="1"/>
      <c r="D59" s="1"/>
      <c r="E59" s="1"/>
    </row>
    <row r="60" spans="2:5" s="7" customFormat="1" x14ac:dyDescent="0.7">
      <c r="B60" s="1"/>
      <c r="C60" s="1"/>
      <c r="D60" s="1"/>
      <c r="E60" s="1"/>
    </row>
    <row r="61" spans="2:5" s="7" customFormat="1" x14ac:dyDescent="0.7">
      <c r="B61" s="1"/>
      <c r="C61" s="1"/>
      <c r="D61" s="1"/>
      <c r="E61" s="1"/>
    </row>
    <row r="62" spans="2:5" s="7" customFormat="1" x14ac:dyDescent="0.7">
      <c r="B62" s="1"/>
      <c r="C62" s="1"/>
      <c r="D62" s="1"/>
      <c r="E62" s="1"/>
    </row>
    <row r="63" spans="2:5" s="7" customFormat="1" x14ac:dyDescent="0.7">
      <c r="B63" s="1"/>
      <c r="C63" s="1"/>
      <c r="D63" s="1"/>
      <c r="E63" s="1"/>
    </row>
    <row r="64" spans="2:5" s="7" customFormat="1" x14ac:dyDescent="0.7">
      <c r="B64" s="1"/>
      <c r="C64" s="1"/>
      <c r="D64" s="1"/>
      <c r="E64" s="1"/>
    </row>
    <row r="65" spans="2:5" s="7" customFormat="1" x14ac:dyDescent="0.7">
      <c r="B65" s="1"/>
      <c r="C65" s="1"/>
      <c r="D65" s="1"/>
      <c r="E65" s="1"/>
    </row>
    <row r="66" spans="2:5" s="7" customFormat="1" x14ac:dyDescent="0.7">
      <c r="B66" s="1"/>
      <c r="C66" s="1"/>
      <c r="D66" s="1"/>
      <c r="E66" s="1"/>
    </row>
    <row r="67" spans="2:5" s="7" customFormat="1" x14ac:dyDescent="0.7">
      <c r="B67" s="1"/>
      <c r="C67" s="1"/>
      <c r="D67" s="1"/>
      <c r="E67" s="1"/>
    </row>
    <row r="68" spans="2:5" s="7" customFormat="1" x14ac:dyDescent="0.7">
      <c r="B68" s="1"/>
      <c r="C68" s="1"/>
      <c r="D68" s="1"/>
      <c r="E68" s="1"/>
    </row>
  </sheetData>
  <phoneticPr fontId="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ED40E-2387-4D90-9584-C83642873982}">
  <dimension ref="B2:B5"/>
  <sheetViews>
    <sheetView workbookViewId="0">
      <selection activeCell="B13" sqref="B13"/>
    </sheetView>
  </sheetViews>
  <sheetFormatPr defaultRowHeight="17.649999999999999" x14ac:dyDescent="0.7"/>
  <cols>
    <col min="2" max="2" width="31.9375" bestFit="1" customWidth="1"/>
  </cols>
  <sheetData>
    <row r="2" spans="2:2" s="1" customFormat="1" ht="15" x14ac:dyDescent="0.7">
      <c r="B2" s="6" t="s">
        <v>495</v>
      </c>
    </row>
    <row r="3" spans="2:2" x14ac:dyDescent="0.7">
      <c r="B3" s="8" t="s">
        <v>496</v>
      </c>
    </row>
    <row r="4" spans="2:2" x14ac:dyDescent="0.7">
      <c r="B4" s="8" t="s">
        <v>497</v>
      </c>
    </row>
    <row r="5" spans="2:2" x14ac:dyDescent="0.7">
      <c r="B5" s="8"/>
    </row>
  </sheetData>
  <phoneticPr fontId="3"/>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DB15B-B45B-49AC-B2E1-2109811336FB}">
  <dimension ref="B2:C6"/>
  <sheetViews>
    <sheetView workbookViewId="0">
      <selection activeCell="F15" sqref="F15"/>
    </sheetView>
  </sheetViews>
  <sheetFormatPr defaultRowHeight="17.649999999999999" x14ac:dyDescent="0.7"/>
  <cols>
    <col min="2" max="2" width="49.125" bestFit="1" customWidth="1"/>
  </cols>
  <sheetData>
    <row r="2" spans="2:3" s="1" customFormat="1" ht="15" x14ac:dyDescent="0.7">
      <c r="B2" s="6" t="s">
        <v>947</v>
      </c>
    </row>
    <row r="3" spans="2:3" x14ac:dyDescent="0.7">
      <c r="B3" s="8" t="s">
        <v>948</v>
      </c>
      <c r="C3" s="1" t="s">
        <v>956</v>
      </c>
    </row>
    <row r="4" spans="2:3" x14ac:dyDescent="0.7">
      <c r="B4" s="8" t="s">
        <v>949</v>
      </c>
    </row>
    <row r="5" spans="2:3" x14ac:dyDescent="0.7">
      <c r="B5" s="8" t="s">
        <v>950</v>
      </c>
    </row>
    <row r="6" spans="2:3" x14ac:dyDescent="0.7">
      <c r="B6" s="8" t="s">
        <v>951</v>
      </c>
    </row>
  </sheetData>
  <phoneticPr fontId="3"/>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CE6C2-99EF-4B89-B715-C4C5276CFF40}">
  <dimension ref="B2:B5"/>
  <sheetViews>
    <sheetView workbookViewId="0">
      <selection sqref="A1:XFD1048576"/>
    </sheetView>
  </sheetViews>
  <sheetFormatPr defaultRowHeight="17.649999999999999" x14ac:dyDescent="0.7"/>
  <cols>
    <col min="2" max="2" width="22.5625" bestFit="1" customWidth="1"/>
  </cols>
  <sheetData>
    <row r="2" spans="2:2" s="1" customFormat="1" ht="15" x14ac:dyDescent="0.7">
      <c r="B2" s="6" t="s">
        <v>449</v>
      </c>
    </row>
    <row r="3" spans="2:2" x14ac:dyDescent="0.7">
      <c r="B3" s="8" t="s">
        <v>503</v>
      </c>
    </row>
    <row r="4" spans="2:2" x14ac:dyDescent="0.7">
      <c r="B4" s="8" t="s">
        <v>504</v>
      </c>
    </row>
    <row r="5" spans="2:2" x14ac:dyDescent="0.7">
      <c r="B5" s="1" t="s">
        <v>505</v>
      </c>
    </row>
  </sheetData>
  <phoneticPr fontId="3"/>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BC6D4-B12C-4C93-9AD7-71A666FC7133}">
  <dimension ref="B2:C145"/>
  <sheetViews>
    <sheetView workbookViewId="0"/>
  </sheetViews>
  <sheetFormatPr defaultRowHeight="15" x14ac:dyDescent="0.7"/>
  <cols>
    <col min="1" max="1" width="9" style="1"/>
    <col min="2" max="2" width="46.125" style="1" bestFit="1" customWidth="1"/>
    <col min="3" max="3" width="33.125" style="1" bestFit="1" customWidth="1"/>
    <col min="4" max="16384" width="9" style="1"/>
  </cols>
  <sheetData>
    <row r="2" spans="2:3" x14ac:dyDescent="0.7">
      <c r="B2" s="6" t="s">
        <v>993</v>
      </c>
      <c r="C2" s="6" t="s">
        <v>455</v>
      </c>
    </row>
    <row r="3" spans="2:3" x14ac:dyDescent="0.7">
      <c r="B3" s="7" t="s">
        <v>1027</v>
      </c>
      <c r="C3" s="1" t="s">
        <v>1000</v>
      </c>
    </row>
    <row r="4" spans="2:3" x14ac:dyDescent="0.7">
      <c r="B4" s="7" t="s">
        <v>1022</v>
      </c>
    </row>
    <row r="5" spans="2:3" x14ac:dyDescent="0.7">
      <c r="B5" s="7" t="s">
        <v>1013</v>
      </c>
    </row>
    <row r="6" spans="2:3" x14ac:dyDescent="0.7">
      <c r="B6" s="7" t="s">
        <v>1012</v>
      </c>
    </row>
    <row r="7" spans="2:3" x14ac:dyDescent="0.7">
      <c r="B7" s="7" t="s">
        <v>1011</v>
      </c>
    </row>
    <row r="8" spans="2:3" x14ac:dyDescent="0.7">
      <c r="B8" s="7" t="s">
        <v>1030</v>
      </c>
    </row>
    <row r="9" spans="2:3" x14ac:dyDescent="0.7">
      <c r="B9" s="7" t="s">
        <v>1031</v>
      </c>
    </row>
    <row r="10" spans="2:3" x14ac:dyDescent="0.7">
      <c r="B10" s="7" t="s">
        <v>1026</v>
      </c>
      <c r="C10" s="1" t="s">
        <v>999</v>
      </c>
    </row>
    <row r="11" spans="2:3" x14ac:dyDescent="0.7">
      <c r="B11" s="1" t="s">
        <v>1025</v>
      </c>
      <c r="C11" s="1" t="s">
        <v>999</v>
      </c>
    </row>
    <row r="12" spans="2:3" x14ac:dyDescent="0.7">
      <c r="B12" s="7" t="s">
        <v>1036</v>
      </c>
    </row>
    <row r="13" spans="2:3" x14ac:dyDescent="0.7">
      <c r="B13" s="7" t="s">
        <v>1037</v>
      </c>
    </row>
    <row r="14" spans="2:3" x14ac:dyDescent="0.7">
      <c r="B14" s="7" t="s">
        <v>1047</v>
      </c>
      <c r="C14" s="1" t="s">
        <v>1004</v>
      </c>
    </row>
    <row r="15" spans="2:3" x14ac:dyDescent="0.7">
      <c r="B15" s="7" t="s">
        <v>1048</v>
      </c>
      <c r="C15" s="1" t="s">
        <v>1004</v>
      </c>
    </row>
    <row r="16" spans="2:3" x14ac:dyDescent="0.7">
      <c r="B16" s="7" t="s">
        <v>1029</v>
      </c>
      <c r="C16" s="1" t="s">
        <v>1001</v>
      </c>
    </row>
    <row r="17" spans="2:3" x14ac:dyDescent="0.7">
      <c r="B17" s="7" t="s">
        <v>1028</v>
      </c>
      <c r="C17" s="1" t="s">
        <v>1001</v>
      </c>
    </row>
    <row r="18" spans="2:3" x14ac:dyDescent="0.7">
      <c r="B18" s="7" t="s">
        <v>1041</v>
      </c>
      <c r="C18" s="1" t="s">
        <v>1004</v>
      </c>
    </row>
    <row r="19" spans="2:3" x14ac:dyDescent="0.7">
      <c r="B19" s="1" t="s">
        <v>1042</v>
      </c>
      <c r="C19" s="1" t="s">
        <v>1004</v>
      </c>
    </row>
    <row r="20" spans="2:3" x14ac:dyDescent="0.7">
      <c r="B20" s="7" t="s">
        <v>1005</v>
      </c>
      <c r="C20" s="1" t="s">
        <v>1004</v>
      </c>
    </row>
    <row r="21" spans="2:3" x14ac:dyDescent="0.7">
      <c r="B21" s="7" t="s">
        <v>1006</v>
      </c>
      <c r="C21" s="1" t="s">
        <v>1004</v>
      </c>
    </row>
    <row r="22" spans="2:3" x14ac:dyDescent="0.7">
      <c r="B22" s="7" t="s">
        <v>1008</v>
      </c>
      <c r="C22" s="1" t="s">
        <v>1004</v>
      </c>
    </row>
    <row r="23" spans="2:3" x14ac:dyDescent="0.7">
      <c r="B23" s="7" t="s">
        <v>1007</v>
      </c>
      <c r="C23" s="1" t="s">
        <v>1004</v>
      </c>
    </row>
    <row r="24" spans="2:3" x14ac:dyDescent="0.7">
      <c r="B24" s="7" t="s">
        <v>1044</v>
      </c>
      <c r="C24" s="1" t="s">
        <v>1004</v>
      </c>
    </row>
    <row r="25" spans="2:3" x14ac:dyDescent="0.7">
      <c r="B25" s="7" t="s">
        <v>1043</v>
      </c>
      <c r="C25" s="1" t="s">
        <v>1004</v>
      </c>
    </row>
    <row r="26" spans="2:3" x14ac:dyDescent="0.7">
      <c r="B26" s="1" t="s">
        <v>1018</v>
      </c>
      <c r="C26" s="1" t="s">
        <v>996</v>
      </c>
    </row>
    <row r="27" spans="2:3" x14ac:dyDescent="0.7">
      <c r="B27" s="7" t="s">
        <v>1019</v>
      </c>
      <c r="C27" s="1" t="s">
        <v>996</v>
      </c>
    </row>
    <row r="28" spans="2:3" x14ac:dyDescent="0.7">
      <c r="B28" s="7" t="s">
        <v>1052</v>
      </c>
      <c r="C28" s="1" t="s">
        <v>1010</v>
      </c>
    </row>
    <row r="29" spans="2:3" x14ac:dyDescent="0.7">
      <c r="B29" s="7" t="s">
        <v>1051</v>
      </c>
      <c r="C29" s="1" t="s">
        <v>1010</v>
      </c>
    </row>
    <row r="30" spans="2:3" x14ac:dyDescent="0.7">
      <c r="B30" s="7" t="s">
        <v>1033</v>
      </c>
    </row>
    <row r="31" spans="2:3" x14ac:dyDescent="0.7">
      <c r="B31" s="7" t="s">
        <v>1032</v>
      </c>
    </row>
    <row r="32" spans="2:3" x14ac:dyDescent="0.7">
      <c r="B32" s="7" t="s">
        <v>1034</v>
      </c>
    </row>
    <row r="33" spans="2:3" x14ac:dyDescent="0.7">
      <c r="B33" s="7" t="s">
        <v>1040</v>
      </c>
      <c r="C33" s="1" t="s">
        <v>1003</v>
      </c>
    </row>
    <row r="34" spans="2:3" x14ac:dyDescent="0.7">
      <c r="B34" s="7" t="s">
        <v>1038</v>
      </c>
      <c r="C34" s="1" t="s">
        <v>1003</v>
      </c>
    </row>
    <row r="35" spans="2:3" x14ac:dyDescent="0.7">
      <c r="B35" s="7" t="s">
        <v>1039</v>
      </c>
      <c r="C35" s="1" t="s">
        <v>1003</v>
      </c>
    </row>
    <row r="36" spans="2:3" x14ac:dyDescent="0.7">
      <c r="B36" s="7" t="s">
        <v>1024</v>
      </c>
      <c r="C36" s="1" t="s">
        <v>998</v>
      </c>
    </row>
    <row r="37" spans="2:3" x14ac:dyDescent="0.7">
      <c r="B37" s="7" t="s">
        <v>1023</v>
      </c>
      <c r="C37" s="1" t="s">
        <v>998</v>
      </c>
    </row>
    <row r="38" spans="2:3" x14ac:dyDescent="0.7">
      <c r="B38" s="7" t="s">
        <v>1015</v>
      </c>
      <c r="C38" s="1" t="s">
        <v>994</v>
      </c>
    </row>
    <row r="39" spans="2:3" x14ac:dyDescent="0.7">
      <c r="B39" s="7" t="s">
        <v>1050</v>
      </c>
      <c r="C39" s="1" t="s">
        <v>1009</v>
      </c>
    </row>
    <row r="40" spans="2:3" x14ac:dyDescent="0.7">
      <c r="B40" s="7" t="s">
        <v>1049</v>
      </c>
      <c r="C40" s="1" t="s">
        <v>1009</v>
      </c>
    </row>
    <row r="41" spans="2:3" x14ac:dyDescent="0.7">
      <c r="B41" s="7" t="s">
        <v>1035</v>
      </c>
      <c r="C41" s="1" t="s">
        <v>1002</v>
      </c>
    </row>
    <row r="42" spans="2:3" x14ac:dyDescent="0.7">
      <c r="B42" s="7" t="s">
        <v>1021</v>
      </c>
      <c r="C42" s="1" t="s">
        <v>997</v>
      </c>
    </row>
    <row r="43" spans="2:3" x14ac:dyDescent="0.7">
      <c r="B43" s="7" t="s">
        <v>1020</v>
      </c>
      <c r="C43" s="1" t="s">
        <v>997</v>
      </c>
    </row>
    <row r="44" spans="2:3" x14ac:dyDescent="0.7">
      <c r="B44" s="7" t="s">
        <v>1016</v>
      </c>
      <c r="C44" s="1" t="s">
        <v>995</v>
      </c>
    </row>
    <row r="45" spans="2:3" x14ac:dyDescent="0.7">
      <c r="B45" s="7" t="s">
        <v>1017</v>
      </c>
      <c r="C45" s="1" t="s">
        <v>995</v>
      </c>
    </row>
    <row r="46" spans="2:3" x14ac:dyDescent="0.7">
      <c r="B46" s="7" t="s">
        <v>1014</v>
      </c>
      <c r="C46" s="1" t="s">
        <v>978</v>
      </c>
    </row>
    <row r="47" spans="2:3" x14ac:dyDescent="0.7">
      <c r="B47" s="7" t="s">
        <v>1045</v>
      </c>
      <c r="C47" s="1" t="s">
        <v>1004</v>
      </c>
    </row>
    <row r="48" spans="2:3" x14ac:dyDescent="0.7">
      <c r="B48" s="7" t="s">
        <v>1046</v>
      </c>
      <c r="C48" s="1" t="s">
        <v>1004</v>
      </c>
    </row>
    <row r="49" spans="2:2" x14ac:dyDescent="0.7">
      <c r="B49" s="7"/>
    </row>
    <row r="50" spans="2:2" x14ac:dyDescent="0.7">
      <c r="B50" s="7"/>
    </row>
    <row r="51" spans="2:2" x14ac:dyDescent="0.7">
      <c r="B51" s="7"/>
    </row>
    <row r="52" spans="2:2" x14ac:dyDescent="0.7">
      <c r="B52" s="7"/>
    </row>
    <row r="54" spans="2:2" x14ac:dyDescent="0.7">
      <c r="B54" s="7"/>
    </row>
    <row r="55" spans="2:2" x14ac:dyDescent="0.7">
      <c r="B55" s="7"/>
    </row>
    <row r="56" spans="2:2" x14ac:dyDescent="0.7">
      <c r="B56" s="7"/>
    </row>
    <row r="57" spans="2:2" x14ac:dyDescent="0.7">
      <c r="B57" s="7"/>
    </row>
    <row r="58" spans="2:2" x14ac:dyDescent="0.7">
      <c r="B58" s="7"/>
    </row>
    <row r="59" spans="2:2" x14ac:dyDescent="0.7">
      <c r="B59" s="7"/>
    </row>
    <row r="60" spans="2:2" x14ac:dyDescent="0.7">
      <c r="B60" s="7"/>
    </row>
    <row r="61" spans="2:2" x14ac:dyDescent="0.7">
      <c r="B61" s="7"/>
    </row>
    <row r="62" spans="2:2" x14ac:dyDescent="0.7">
      <c r="B62" s="7"/>
    </row>
    <row r="63" spans="2:2" x14ac:dyDescent="0.7">
      <c r="B63" s="7"/>
    </row>
    <row r="64" spans="2:2" x14ac:dyDescent="0.7">
      <c r="B64" s="7"/>
    </row>
    <row r="65" spans="2:2" x14ac:dyDescent="0.7">
      <c r="B65" s="7"/>
    </row>
    <row r="66" spans="2:2" x14ac:dyDescent="0.7">
      <c r="B66" s="7"/>
    </row>
    <row r="67" spans="2:2" x14ac:dyDescent="0.7">
      <c r="B67" s="7"/>
    </row>
    <row r="68" spans="2:2" x14ac:dyDescent="0.7">
      <c r="B68" s="7"/>
    </row>
    <row r="70" spans="2:2" x14ac:dyDescent="0.7">
      <c r="B70" s="7"/>
    </row>
    <row r="71" spans="2:2" x14ac:dyDescent="0.7">
      <c r="B71" s="7"/>
    </row>
    <row r="72" spans="2:2" x14ac:dyDescent="0.7">
      <c r="B72" s="7"/>
    </row>
    <row r="73" spans="2:2" x14ac:dyDescent="0.7">
      <c r="B73" s="7"/>
    </row>
    <row r="74" spans="2:2" x14ac:dyDescent="0.7">
      <c r="B74" s="7"/>
    </row>
    <row r="75" spans="2:2" x14ac:dyDescent="0.7">
      <c r="B75" s="7"/>
    </row>
    <row r="76" spans="2:2" x14ac:dyDescent="0.7">
      <c r="B76" s="7"/>
    </row>
    <row r="77" spans="2:2" x14ac:dyDescent="0.7">
      <c r="B77" s="7"/>
    </row>
    <row r="78" spans="2:2" x14ac:dyDescent="0.7">
      <c r="B78" s="7"/>
    </row>
    <row r="79" spans="2:2" x14ac:dyDescent="0.7">
      <c r="B79" s="7"/>
    </row>
    <row r="80" spans="2:2" x14ac:dyDescent="0.7">
      <c r="B80" s="7"/>
    </row>
    <row r="81" spans="2:2" x14ac:dyDescent="0.7">
      <c r="B81" s="7"/>
    </row>
    <row r="82" spans="2:2" x14ac:dyDescent="0.7">
      <c r="B82" s="7"/>
    </row>
    <row r="83" spans="2:2" x14ac:dyDescent="0.7">
      <c r="B83" s="7"/>
    </row>
    <row r="85" spans="2:2" x14ac:dyDescent="0.7">
      <c r="B85" s="7"/>
    </row>
    <row r="86" spans="2:2" x14ac:dyDescent="0.7">
      <c r="B86" s="7"/>
    </row>
    <row r="87" spans="2:2" x14ac:dyDescent="0.7">
      <c r="B87" s="7"/>
    </row>
    <row r="88" spans="2:2" x14ac:dyDescent="0.7">
      <c r="B88" s="7"/>
    </row>
    <row r="89" spans="2:2" x14ac:dyDescent="0.7">
      <c r="B89" s="7"/>
    </row>
    <row r="90" spans="2:2" x14ac:dyDescent="0.7">
      <c r="B90" s="7"/>
    </row>
    <row r="91" spans="2:2" x14ac:dyDescent="0.7">
      <c r="B91" s="7"/>
    </row>
    <row r="92" spans="2:2" x14ac:dyDescent="0.7">
      <c r="B92" s="7"/>
    </row>
    <row r="93" spans="2:2" x14ac:dyDescent="0.7">
      <c r="B93" s="7"/>
    </row>
    <row r="94" spans="2:2" x14ac:dyDescent="0.7">
      <c r="B94" s="7"/>
    </row>
    <row r="95" spans="2:2" x14ac:dyDescent="0.7">
      <c r="B95" s="7"/>
    </row>
    <row r="96" spans="2:2" x14ac:dyDescent="0.7">
      <c r="B96" s="7"/>
    </row>
    <row r="97" spans="2:2" x14ac:dyDescent="0.7">
      <c r="B97" s="7"/>
    </row>
    <row r="98" spans="2:2" x14ac:dyDescent="0.7">
      <c r="B98" s="7"/>
    </row>
    <row r="99" spans="2:2" x14ac:dyDescent="0.7">
      <c r="B99" s="7"/>
    </row>
    <row r="100" spans="2:2" x14ac:dyDescent="0.7">
      <c r="B100" s="7"/>
    </row>
    <row r="101" spans="2:2" x14ac:dyDescent="0.7">
      <c r="B101" s="7"/>
    </row>
    <row r="102" spans="2:2" x14ac:dyDescent="0.7">
      <c r="B102" s="7"/>
    </row>
    <row r="103" spans="2:2" x14ac:dyDescent="0.7">
      <c r="B103" s="7"/>
    </row>
    <row r="104" spans="2:2" x14ac:dyDescent="0.7">
      <c r="B104" s="7"/>
    </row>
    <row r="105" spans="2:2" x14ac:dyDescent="0.7">
      <c r="B105" s="7"/>
    </row>
    <row r="106" spans="2:2" x14ac:dyDescent="0.7">
      <c r="B106" s="7"/>
    </row>
    <row r="107" spans="2:2" x14ac:dyDescent="0.7">
      <c r="B107" s="7"/>
    </row>
    <row r="108" spans="2:2" x14ac:dyDescent="0.7">
      <c r="B108" s="7"/>
    </row>
    <row r="109" spans="2:2" x14ac:dyDescent="0.7">
      <c r="B109" s="7"/>
    </row>
    <row r="110" spans="2:2" x14ac:dyDescent="0.7">
      <c r="B110" s="7"/>
    </row>
    <row r="111" spans="2:2" x14ac:dyDescent="0.7">
      <c r="B111" s="7"/>
    </row>
    <row r="112" spans="2:2" x14ac:dyDescent="0.7">
      <c r="B112" s="7"/>
    </row>
    <row r="113" spans="2:2" x14ac:dyDescent="0.7">
      <c r="B113" s="7"/>
    </row>
    <row r="114" spans="2:2" x14ac:dyDescent="0.7">
      <c r="B114" s="7"/>
    </row>
    <row r="115" spans="2:2" x14ac:dyDescent="0.7">
      <c r="B115" s="7"/>
    </row>
    <row r="116" spans="2:2" x14ac:dyDescent="0.7">
      <c r="B116" s="7"/>
    </row>
    <row r="117" spans="2:2" x14ac:dyDescent="0.7">
      <c r="B117" s="7"/>
    </row>
    <row r="118" spans="2:2" x14ac:dyDescent="0.7">
      <c r="B118" s="7"/>
    </row>
    <row r="119" spans="2:2" x14ac:dyDescent="0.7">
      <c r="B119" s="7"/>
    </row>
    <row r="120" spans="2:2" x14ac:dyDescent="0.7">
      <c r="B120" s="7"/>
    </row>
    <row r="121" spans="2:2" x14ac:dyDescent="0.7">
      <c r="B121" s="7"/>
    </row>
    <row r="122" spans="2:2" x14ac:dyDescent="0.7">
      <c r="B122" s="7"/>
    </row>
    <row r="123" spans="2:2" x14ac:dyDescent="0.7">
      <c r="B123" s="7"/>
    </row>
    <row r="124" spans="2:2" x14ac:dyDescent="0.7">
      <c r="B124" s="7"/>
    </row>
    <row r="125" spans="2:2" x14ac:dyDescent="0.7">
      <c r="B125" s="7"/>
    </row>
    <row r="126" spans="2:2" x14ac:dyDescent="0.7">
      <c r="B126" s="7"/>
    </row>
    <row r="127" spans="2:2" x14ac:dyDescent="0.7">
      <c r="B127" s="7"/>
    </row>
    <row r="128" spans="2:2" x14ac:dyDescent="0.7">
      <c r="B128" s="7"/>
    </row>
    <row r="129" spans="2:2" x14ac:dyDescent="0.7">
      <c r="B129" s="7"/>
    </row>
    <row r="130" spans="2:2" x14ac:dyDescent="0.7">
      <c r="B130" s="7"/>
    </row>
    <row r="131" spans="2:2" x14ac:dyDescent="0.7">
      <c r="B131" s="7"/>
    </row>
    <row r="132" spans="2:2" x14ac:dyDescent="0.7">
      <c r="B132" s="7"/>
    </row>
    <row r="133" spans="2:2" x14ac:dyDescent="0.7">
      <c r="B133" s="7"/>
    </row>
    <row r="134" spans="2:2" x14ac:dyDescent="0.7">
      <c r="B134" s="7"/>
    </row>
    <row r="135" spans="2:2" x14ac:dyDescent="0.7">
      <c r="B135" s="7"/>
    </row>
    <row r="136" spans="2:2" x14ac:dyDescent="0.7">
      <c r="B136" s="7"/>
    </row>
    <row r="137" spans="2:2" x14ac:dyDescent="0.7">
      <c r="B137" s="7"/>
    </row>
    <row r="138" spans="2:2" x14ac:dyDescent="0.7">
      <c r="B138" s="7"/>
    </row>
    <row r="139" spans="2:2" x14ac:dyDescent="0.7">
      <c r="B139" s="7"/>
    </row>
    <row r="140" spans="2:2" x14ac:dyDescent="0.7">
      <c r="B140" s="7"/>
    </row>
    <row r="141" spans="2:2" x14ac:dyDescent="0.7">
      <c r="B141" s="7"/>
    </row>
    <row r="142" spans="2:2" x14ac:dyDescent="0.7">
      <c r="B142" s="7"/>
    </row>
    <row r="143" spans="2:2" x14ac:dyDescent="0.7">
      <c r="B143" s="7"/>
    </row>
    <row r="144" spans="2:2" x14ac:dyDescent="0.7">
      <c r="B144" s="7"/>
    </row>
    <row r="145" spans="2:2" x14ac:dyDescent="0.7">
      <c r="B145" s="7"/>
    </row>
  </sheetData>
  <sortState xmlns:xlrd2="http://schemas.microsoft.com/office/spreadsheetml/2017/richdata2" ref="B3:C82">
    <sortCondition ref="B3:B82"/>
  </sortState>
  <phoneticPr fontId="3"/>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F5A9B-653A-4A0D-957B-21095294833E}">
  <dimension ref="B2:B26"/>
  <sheetViews>
    <sheetView workbookViewId="0">
      <selection activeCell="E10" sqref="E10"/>
    </sheetView>
  </sheetViews>
  <sheetFormatPr defaultRowHeight="17.649999999999999" x14ac:dyDescent="0.7"/>
  <cols>
    <col min="2" max="2" width="22.5625" style="14" bestFit="1" customWidth="1"/>
  </cols>
  <sheetData>
    <row r="2" spans="2:2" s="1" customFormat="1" ht="15" x14ac:dyDescent="0.7">
      <c r="B2" s="12" t="s">
        <v>540</v>
      </c>
    </row>
    <row r="3" spans="2:2" x14ac:dyDescent="0.7">
      <c r="B3" s="13" t="s">
        <v>541</v>
      </c>
    </row>
    <row r="4" spans="2:2" x14ac:dyDescent="0.7">
      <c r="B4" s="13" t="s">
        <v>542</v>
      </c>
    </row>
    <row r="5" spans="2:2" x14ac:dyDescent="0.7">
      <c r="B5" s="7" t="s">
        <v>543</v>
      </c>
    </row>
    <row r="6" spans="2:2" x14ac:dyDescent="0.7">
      <c r="B6" s="13" t="s">
        <v>544</v>
      </c>
    </row>
    <row r="7" spans="2:2" x14ac:dyDescent="0.7">
      <c r="B7" s="7" t="s">
        <v>545</v>
      </c>
    </row>
    <row r="8" spans="2:2" x14ac:dyDescent="0.7">
      <c r="B8" s="13" t="s">
        <v>546</v>
      </c>
    </row>
    <row r="9" spans="2:2" x14ac:dyDescent="0.7">
      <c r="B9" s="7" t="s">
        <v>547</v>
      </c>
    </row>
    <row r="10" spans="2:2" x14ac:dyDescent="0.7">
      <c r="B10" s="13" t="s">
        <v>548</v>
      </c>
    </row>
    <row r="11" spans="2:2" x14ac:dyDescent="0.7">
      <c r="B11" s="7" t="s">
        <v>549</v>
      </c>
    </row>
    <row r="12" spans="2:2" x14ac:dyDescent="0.7">
      <c r="B12" s="13" t="s">
        <v>550</v>
      </c>
    </row>
    <row r="13" spans="2:2" x14ac:dyDescent="0.7">
      <c r="B13" s="7" t="s">
        <v>551</v>
      </c>
    </row>
    <row r="14" spans="2:2" x14ac:dyDescent="0.7">
      <c r="B14" s="13" t="s">
        <v>552</v>
      </c>
    </row>
    <row r="15" spans="2:2" x14ac:dyDescent="0.7">
      <c r="B15" s="7" t="s">
        <v>553</v>
      </c>
    </row>
    <row r="16" spans="2:2" x14ac:dyDescent="0.7">
      <c r="B16" s="13" t="s">
        <v>554</v>
      </c>
    </row>
    <row r="17" spans="2:2" x14ac:dyDescent="0.7">
      <c r="B17" s="7" t="s">
        <v>555</v>
      </c>
    </row>
    <row r="18" spans="2:2" x14ac:dyDescent="0.7">
      <c r="B18" s="13" t="s">
        <v>556</v>
      </c>
    </row>
    <row r="19" spans="2:2" x14ac:dyDescent="0.7">
      <c r="B19" s="7" t="s">
        <v>557</v>
      </c>
    </row>
    <row r="20" spans="2:2" x14ac:dyDescent="0.7">
      <c r="B20" s="13" t="s">
        <v>558</v>
      </c>
    </row>
    <row r="21" spans="2:2" x14ac:dyDescent="0.7">
      <c r="B21" s="7" t="s">
        <v>559</v>
      </c>
    </row>
    <row r="22" spans="2:2" x14ac:dyDescent="0.7">
      <c r="B22" s="13" t="s">
        <v>560</v>
      </c>
    </row>
    <row r="23" spans="2:2" x14ac:dyDescent="0.7">
      <c r="B23" s="7" t="s">
        <v>561</v>
      </c>
    </row>
    <row r="24" spans="2:2" x14ac:dyDescent="0.7">
      <c r="B24" s="13" t="s">
        <v>562</v>
      </c>
    </row>
    <row r="25" spans="2:2" x14ac:dyDescent="0.7">
      <c r="B25" s="7" t="s">
        <v>563</v>
      </c>
    </row>
    <row r="26" spans="2:2" x14ac:dyDescent="0.7">
      <c r="B26" s="13" t="s">
        <v>564</v>
      </c>
    </row>
  </sheetData>
  <phoneticPr fontId="3"/>
  <pageMargins left="0.7" right="0.7" top="0.75" bottom="0.75" header="0.3" footer="0.3"/>
  <ignoredErrors>
    <ignoredError sqref="B3:B14" twoDigitTextYear="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報告リスト</vt:lpstr>
      <vt:lpstr>ホンダモビリティ南関東旧東京中央車両リスト</vt:lpstr>
      <vt:lpstr>橋田佳明車両リスト</vt:lpstr>
      <vt:lpstr>バンクレンタカー（バンクレンタカー車両リスト）</vt:lpstr>
      <vt:lpstr>バンクレンタカー（eemo車両リスト）</vt:lpstr>
      <vt:lpstr>フードスター車両リスト</vt:lpstr>
      <vt:lpstr>スマートバリュー車両リスト</vt:lpstr>
      <vt:lpstr>大豊産業車両リスト</vt:lpstr>
      <vt:lpstr>エネクスライフサービス車両リスト</vt:lpstr>
      <vt:lpstr>国際交通車両リスト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晃弘 津川</dc:creator>
  <cp:lastModifiedBy>晃弘 津川</cp:lastModifiedBy>
  <dcterms:created xsi:type="dcterms:W3CDTF">2026-04-23T02:37:00Z</dcterms:created>
  <dcterms:modified xsi:type="dcterms:W3CDTF">2026-06-18T18:20:59Z</dcterms:modified>
</cp:coreProperties>
</file>